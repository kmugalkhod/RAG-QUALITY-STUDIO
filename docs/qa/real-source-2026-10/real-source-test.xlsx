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urces" sheetId="2" state="visible" r:id="rId2"/>
    <sheet xmlns:r="http://schemas.openxmlformats.org/officeDocument/2006/relationships" name="Runs" sheetId="3" state="visible" r:id="rId3"/>
    <sheet xmlns:r="http://schemas.openxmlformats.org/officeDocument/2006/relationships" name="Structure" sheetId="4" state="visible" r:id="rId4"/>
    <sheet xmlns:r="http://schemas.openxmlformats.org/officeDocument/2006/relationships" name="Retrieval" sheetId="5" state="visible" r:id="rId5"/>
    <sheet xmlns:r="http://schemas.openxmlformats.org/officeDocument/2006/relationships" name="Answers" sheetId="6" state="visible" r:id="rId6"/>
    <sheet xmlns:r="http://schemas.openxmlformats.org/officeDocument/2006/relationships" name="Settings verdict" sheetId="7" state="visible" r:id="rId7"/>
    <sheet xmlns:r="http://schemas.openxmlformats.org/officeDocument/2006/relationships" name="Findings" sheetId="8" state="visible" r:id="rId8"/>
    <sheet xmlns:r="http://schemas.openxmlformats.org/officeDocument/2006/relationships" name="After fixes" sheetId="9" state="visible" r:id="rId9"/>
    <sheet xmlns:r="http://schemas.openxmlformats.org/officeDocument/2006/relationships" name="Extract v4" sheetId="10" state="visible" r:id="rId10"/>
    <sheet xmlns:r="http://schemas.openxmlformats.org/officeDocument/2006/relationships" name="Extract v5"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000000"/>
      <sz val="10"/>
    </font>
    <font>
      <name val="Arial"/>
      <b val="1"/>
      <sz val="10"/>
    </font>
    <font>
      <name val="Arial"/>
      <sz val="10"/>
    </font>
    <font>
      <name val="Arial"/>
      <i val="1"/>
      <color rgb="00555555"/>
      <sz val="9"/>
    </font>
    <font>
      <name val="Arial"/>
      <b val="1"/>
      <sz val="14"/>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9"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8" customWidth="1" min="3" max="3"/>
    <col width="12" customWidth="1" min="4" max="4"/>
    <col width="7" customWidth="1" min="5" max="5"/>
    <col width="7" customWidth="1" min="6" max="6"/>
    <col width="8" customWidth="1" min="7" max="7"/>
    <col width="8" customWidth="1" min="8" max="8"/>
    <col width="10" customWidth="1" min="9" max="9"/>
    <col width="20" customWidth="1" min="10" max="10"/>
  </cols>
  <sheetData>
    <row r="1">
      <c r="A1" s="1" t="inlineStr">
        <is>
          <t>Real-source ingestion test (spec 0006), re-run after the spec 0007 fixes (A1) and with extractor v4 (A2, spec 0008)</t>
        </is>
      </c>
      <c r="B1" s="2" t="n"/>
      <c r="C1" s="2" t="n"/>
      <c r="D1" s="2" t="n"/>
      <c r="E1" s="2" t="n"/>
      <c r="F1" s="2" t="n"/>
      <c r="G1" s="2" t="n"/>
      <c r="H1" s="2" t="n"/>
      <c r="I1" s="2" t="n"/>
      <c r="J1" s="2" t="n"/>
    </row>
    <row r="2">
      <c r="A2" s="3" t="inlineStr">
        <is>
          <t>Satisfaction rule (fixed before results): Good = Hit@5 at least 90% and the run published; Acceptable = Hit@5 at least 75%; Poor = otherwise, or the run did not publish.</t>
        </is>
      </c>
      <c r="B2" s="2" t="n"/>
      <c r="C2" s="2" t="n"/>
      <c r="D2" s="2" t="n"/>
      <c r="E2" s="2" t="n"/>
      <c r="F2" s="2" t="n"/>
      <c r="G2" s="2" t="n"/>
      <c r="H2" s="2" t="n"/>
      <c r="I2" s="2" t="n"/>
      <c r="J2" s="2" t="n"/>
    </row>
    <row r="3">
      <c r="A3" s="2" t="n"/>
      <c r="B3" s="2" t="n"/>
      <c r="C3" s="2" t="n"/>
      <c r="D3" s="2" t="n"/>
      <c r="E3" s="2" t="n"/>
      <c r="F3" s="2" t="n"/>
      <c r="G3" s="2" t="n"/>
      <c r="H3" s="2" t="n"/>
      <c r="I3" s="2" t="n"/>
      <c r="J3" s="2" t="n"/>
    </row>
    <row r="4">
      <c r="A4" s="4" t="inlineStr">
        <is>
          <t>Round</t>
        </is>
      </c>
      <c r="B4" s="4" t="inlineStr">
        <is>
          <t>What changed</t>
        </is>
      </c>
      <c r="C4" s="4" t="inlineStr">
        <is>
          <t>Source</t>
        </is>
      </c>
      <c r="D4" s="4" t="inlineStr">
        <is>
          <t>Answerable questions</t>
        </is>
      </c>
      <c r="E4" s="4" t="inlineStr">
        <is>
          <t>Hit@1</t>
        </is>
      </c>
      <c r="F4" s="4" t="inlineStr">
        <is>
          <t>Hit@5</t>
        </is>
      </c>
      <c r="G4" s="4" t="inlineStr">
        <is>
          <t>Hit@1 %</t>
        </is>
      </c>
      <c r="H4" s="4" t="inlineStr">
        <is>
          <t>Hit@5 %</t>
        </is>
      </c>
      <c r="I4" s="4" t="inlineStr">
        <is>
          <t>Run published</t>
        </is>
      </c>
      <c r="J4" s="4" t="inlineStr">
        <is>
          <t>Satisfaction</t>
        </is>
      </c>
    </row>
    <row r="5">
      <c r="A5" s="2" t="inlineStr">
        <is>
          <t>R1</t>
        </is>
      </c>
      <c r="B5" s="2" t="inlineStr">
        <is>
          <t>Recommended settings (v2)</t>
        </is>
      </c>
      <c r="C5" s="2" t="inlineStr">
        <is>
          <t>W1</t>
        </is>
      </c>
      <c r="D5" s="2">
        <f>COUNTIFS(Retrieval!$A$2:$A$402,A5,Retrieval!$B$2:$B$402,C5,Retrieval!$I$2:$I$402,"&lt;&gt;n/a")</f>
        <v/>
      </c>
      <c r="E5" s="2">
        <f>COUNTIFS(Retrieval!$A$2:$A$402,A5,Retrieval!$B$2:$B$402,C5,Retrieval!$I$2:$I$402,"yes")</f>
        <v/>
      </c>
      <c r="F5" s="2">
        <f>COUNTIFS(Retrieval!$A$2:$A$402,A5,Retrieval!$B$2:$B$402,C5,Retrieval!$J$2:$J$402,"yes")</f>
        <v/>
      </c>
      <c r="G5" s="5">
        <f>IF(D5=0,0,E5/D5)</f>
        <v/>
      </c>
      <c r="H5" s="5">
        <f>IF(D5=0,0,F5/D5)</f>
        <v/>
      </c>
      <c r="I5" s="2">
        <f>IF(COUNTIFS(Structure!$A:$A,A5,Structure!$C:$C,C5,Structure!$D:$D,"succeeded")&gt;0,"yes","no")</f>
        <v/>
      </c>
      <c r="J5" s="2">
        <f>IF(I5="no","Poor (not published)",IF(H5&gt;=0.9,"Good",IF(H5&gt;=0.75,"Acceptable","Poor")))</f>
        <v/>
      </c>
    </row>
    <row r="6">
      <c r="A6" s="2" t="inlineStr">
        <is>
          <t>R1</t>
        </is>
      </c>
      <c r="B6" s="2" t="inlineStr">
        <is>
          <t>Recommended settings (v2)</t>
        </is>
      </c>
      <c r="C6" s="2" t="inlineStr">
        <is>
          <t>W2</t>
        </is>
      </c>
      <c r="D6" s="2">
        <f>COUNTIFS(Retrieval!$A$2:$A$402,A6,Retrieval!$B$2:$B$402,C6,Retrieval!$I$2:$I$402,"&lt;&gt;n/a")</f>
        <v/>
      </c>
      <c r="E6" s="2">
        <f>COUNTIFS(Retrieval!$A$2:$A$402,A6,Retrieval!$B$2:$B$402,C6,Retrieval!$I$2:$I$402,"yes")</f>
        <v/>
      </c>
      <c r="F6" s="2">
        <f>COUNTIFS(Retrieval!$A$2:$A$402,A6,Retrieval!$B$2:$B$402,C6,Retrieval!$J$2:$J$402,"yes")</f>
        <v/>
      </c>
      <c r="G6" s="5">
        <f>IF(D6=0,0,E6/D6)</f>
        <v/>
      </c>
      <c r="H6" s="5">
        <f>IF(D6=0,0,F6/D6)</f>
        <v/>
      </c>
      <c r="I6" s="2">
        <f>IF(COUNTIFS(Structure!$A:$A,A6,Structure!$C:$C,C6,Structure!$D:$D,"succeeded")&gt;0,"yes","no")</f>
        <v/>
      </c>
      <c r="J6" s="2">
        <f>IF(I6="no","Poor (not published)",IF(H6&gt;=0.9,"Good",IF(H6&gt;=0.75,"Acceptable","Poor")))</f>
        <v/>
      </c>
    </row>
    <row r="7">
      <c r="A7" s="2" t="inlineStr">
        <is>
          <t>R1</t>
        </is>
      </c>
      <c r="B7" s="2" t="inlineStr">
        <is>
          <t>Recommended settings (v2)</t>
        </is>
      </c>
      <c r="C7" s="2" t="inlineStr">
        <is>
          <t>W3</t>
        </is>
      </c>
      <c r="D7" s="2">
        <f>COUNTIFS(Retrieval!$A$2:$A$402,A7,Retrieval!$B$2:$B$402,C7,Retrieval!$I$2:$I$402,"&lt;&gt;n/a")</f>
        <v/>
      </c>
      <c r="E7" s="2">
        <f>COUNTIFS(Retrieval!$A$2:$A$402,A7,Retrieval!$B$2:$B$402,C7,Retrieval!$I$2:$I$402,"yes")</f>
        <v/>
      </c>
      <c r="F7" s="2">
        <f>COUNTIFS(Retrieval!$A$2:$A$402,A7,Retrieval!$B$2:$B$402,C7,Retrieval!$J$2:$J$402,"yes")</f>
        <v/>
      </c>
      <c r="G7" s="5">
        <f>IF(D7=0,0,E7/D7)</f>
        <v/>
      </c>
      <c r="H7" s="5">
        <f>IF(D7=0,0,F7/D7)</f>
        <v/>
      </c>
      <c r="I7" s="2">
        <f>IF(COUNTIFS(Structure!$A:$A,A7,Structure!$C:$C,C7,Structure!$D:$D,"succeeded")&gt;0,"yes","no")</f>
        <v/>
      </c>
      <c r="J7" s="2">
        <f>IF(I7="no","Poor (not published)",IF(H7&gt;=0.9,"Good",IF(H7&gt;=0.75,"Acceptable","Poor")))</f>
        <v/>
      </c>
    </row>
    <row r="8">
      <c r="A8" s="2" t="inlineStr">
        <is>
          <t>R1</t>
        </is>
      </c>
      <c r="B8" s="2" t="inlineStr">
        <is>
          <t>Recommended settings (v2)</t>
        </is>
      </c>
      <c r="C8" s="2" t="inlineStr">
        <is>
          <t>W4</t>
        </is>
      </c>
      <c r="D8" s="2">
        <f>COUNTIFS(Retrieval!$A$2:$A$402,A8,Retrieval!$B$2:$B$402,C8,Retrieval!$I$2:$I$402,"&lt;&gt;n/a")</f>
        <v/>
      </c>
      <c r="E8" s="2">
        <f>COUNTIFS(Retrieval!$A$2:$A$402,A8,Retrieval!$B$2:$B$402,C8,Retrieval!$I$2:$I$402,"yes")</f>
        <v/>
      </c>
      <c r="F8" s="2">
        <f>COUNTIFS(Retrieval!$A$2:$A$402,A8,Retrieval!$B$2:$B$402,C8,Retrieval!$J$2:$J$402,"yes")</f>
        <v/>
      </c>
      <c r="G8" s="5">
        <f>IF(D8=0,0,E8/D8)</f>
        <v/>
      </c>
      <c r="H8" s="5">
        <f>IF(D8=0,0,F8/D8)</f>
        <v/>
      </c>
      <c r="I8" s="2">
        <f>IF(COUNTIFS(Structure!$A:$A,A8,Structure!$C:$C,C8,Structure!$D:$D,"succeeded")&gt;0,"yes","no")</f>
        <v/>
      </c>
      <c r="J8" s="2">
        <f>IF(I8="no","Poor (not published)",IF(H8&gt;=0.9,"Good",IF(H8&gt;=0.75,"Acceptable","Poor")))</f>
        <v/>
      </c>
    </row>
    <row r="9">
      <c r="A9" s="2" t="inlineStr">
        <is>
          <t>R5</t>
        </is>
      </c>
      <c r="B9" s="2" t="inlineStr">
        <is>
          <t>Publish the other pages and show warnings</t>
        </is>
      </c>
      <c r="C9" s="2" t="inlineStr">
        <is>
          <t>W1</t>
        </is>
      </c>
      <c r="D9" s="2">
        <f>COUNTIFS(Retrieval!$A$2:$A$402,A9,Retrieval!$B$2:$B$402,C9,Retrieval!$I$2:$I$402,"&lt;&gt;n/a")</f>
        <v/>
      </c>
      <c r="E9" s="2">
        <f>COUNTIFS(Retrieval!$A$2:$A$402,A9,Retrieval!$B$2:$B$402,C9,Retrieval!$I$2:$I$402,"yes")</f>
        <v/>
      </c>
      <c r="F9" s="2">
        <f>COUNTIFS(Retrieval!$A$2:$A$402,A9,Retrieval!$B$2:$B$402,C9,Retrieval!$J$2:$J$402,"yes")</f>
        <v/>
      </c>
      <c r="G9" s="5">
        <f>IF(D9=0,0,E9/D9)</f>
        <v/>
      </c>
      <c r="H9" s="5">
        <f>IF(D9=0,0,F9/D9)</f>
        <v/>
      </c>
      <c r="I9" s="2">
        <f>IF(COUNTIFS(Structure!$A:$A,A9,Structure!$C:$C,C9,Structure!$D:$D,"succeeded")&gt;0,"yes","no")</f>
        <v/>
      </c>
      <c r="J9" s="2">
        <f>IF(I9="no","Poor (not published)",IF(H9&gt;=0.9,"Good",IF(H9&gt;=0.75,"Acceptable","Poor")))</f>
        <v/>
      </c>
    </row>
    <row r="10">
      <c r="A10" s="2" t="inlineStr">
        <is>
          <t>R5</t>
        </is>
      </c>
      <c r="B10" s="2" t="inlineStr">
        <is>
          <t>Publish the other pages and show warnings</t>
        </is>
      </c>
      <c r="C10" s="2" t="inlineStr">
        <is>
          <t>W2</t>
        </is>
      </c>
      <c r="D10" s="2">
        <f>COUNTIFS(Retrieval!$A$2:$A$402,A10,Retrieval!$B$2:$B$402,C10,Retrieval!$I$2:$I$402,"&lt;&gt;n/a")</f>
        <v/>
      </c>
      <c r="E10" s="2">
        <f>COUNTIFS(Retrieval!$A$2:$A$402,A10,Retrieval!$B$2:$B$402,C10,Retrieval!$I$2:$I$402,"yes")</f>
        <v/>
      </c>
      <c r="F10" s="2">
        <f>COUNTIFS(Retrieval!$A$2:$A$402,A10,Retrieval!$B$2:$B$402,C10,Retrieval!$J$2:$J$402,"yes")</f>
        <v/>
      </c>
      <c r="G10" s="5">
        <f>IF(D10=0,0,E10/D10)</f>
        <v/>
      </c>
      <c r="H10" s="5">
        <f>IF(D10=0,0,F10/D10)</f>
        <v/>
      </c>
      <c r="I10" s="2">
        <f>IF(COUNTIFS(Structure!$A:$A,A10,Structure!$C:$C,C10,Structure!$D:$D,"succeeded")&gt;0,"yes","no")</f>
        <v/>
      </c>
      <c r="J10" s="2">
        <f>IF(I10="no","Poor (not published)",IF(H10&gt;=0.9,"Good",IF(H10&gt;=0.75,"Acceptable","Poor")))</f>
        <v/>
      </c>
    </row>
    <row r="11">
      <c r="A11" s="2" t="inlineStr">
        <is>
          <t>R5</t>
        </is>
      </c>
      <c r="B11" s="2" t="inlineStr">
        <is>
          <t>Publish the other pages and show warnings</t>
        </is>
      </c>
      <c r="C11" s="2" t="inlineStr">
        <is>
          <t>W3</t>
        </is>
      </c>
      <c r="D11" s="2">
        <f>COUNTIFS(Retrieval!$A$2:$A$402,A11,Retrieval!$B$2:$B$402,C11,Retrieval!$I$2:$I$402,"&lt;&gt;n/a")</f>
        <v/>
      </c>
      <c r="E11" s="2">
        <f>COUNTIFS(Retrieval!$A$2:$A$402,A11,Retrieval!$B$2:$B$402,C11,Retrieval!$I$2:$I$402,"yes")</f>
        <v/>
      </c>
      <c r="F11" s="2">
        <f>COUNTIFS(Retrieval!$A$2:$A$402,A11,Retrieval!$B$2:$B$402,C11,Retrieval!$J$2:$J$402,"yes")</f>
        <v/>
      </c>
      <c r="G11" s="5">
        <f>IF(D11=0,0,E11/D11)</f>
        <v/>
      </c>
      <c r="H11" s="5">
        <f>IF(D11=0,0,F11/D11)</f>
        <v/>
      </c>
      <c r="I11" s="2">
        <f>IF(COUNTIFS(Structure!$A:$A,A11,Structure!$C:$C,C11,Structure!$D:$D,"succeeded")&gt;0,"yes","no")</f>
        <v/>
      </c>
      <c r="J11" s="2">
        <f>IF(I11="no","Poor (not published)",IF(H11&gt;=0.9,"Good",IF(H11&gt;=0.75,"Acceptable","Poor")))</f>
        <v/>
      </c>
    </row>
    <row r="12">
      <c r="A12" s="2" t="inlineStr">
        <is>
          <t>R5</t>
        </is>
      </c>
      <c r="B12" s="2" t="inlineStr">
        <is>
          <t>Publish the other pages and show warnings</t>
        </is>
      </c>
      <c r="C12" s="2" t="inlineStr">
        <is>
          <t>W4</t>
        </is>
      </c>
      <c r="D12" s="2">
        <f>COUNTIFS(Retrieval!$A$2:$A$402,A12,Retrieval!$B$2:$B$402,C12,Retrieval!$I$2:$I$402,"&lt;&gt;n/a")</f>
        <v/>
      </c>
      <c r="E12" s="2">
        <f>COUNTIFS(Retrieval!$A$2:$A$402,A12,Retrieval!$B$2:$B$402,C12,Retrieval!$I$2:$I$402,"yes")</f>
        <v/>
      </c>
      <c r="F12" s="2">
        <f>COUNTIFS(Retrieval!$A$2:$A$402,A12,Retrieval!$B$2:$B$402,C12,Retrieval!$J$2:$J$402,"yes")</f>
        <v/>
      </c>
      <c r="G12" s="5">
        <f>IF(D12=0,0,E12/D12)</f>
        <v/>
      </c>
      <c r="H12" s="5">
        <f>IF(D12=0,0,F12/D12)</f>
        <v/>
      </c>
      <c r="I12" s="2">
        <f>IF(COUNTIFS(Structure!$A:$A,A12,Structure!$C:$C,C12,Structure!$D:$D,"succeeded")&gt;0,"yes","no")</f>
        <v/>
      </c>
      <c r="J12" s="2">
        <f>IF(I12="no","Poor (not published)",IF(H12&gt;=0.9,"Good",IF(H12&gt;=0.75,"Acceptable","Poor")))</f>
        <v/>
      </c>
    </row>
    <row r="13">
      <c r="A13" s="2" t="inlineStr">
        <is>
          <t>R6</t>
        </is>
      </c>
      <c r="B13" s="2" t="inlineStr">
        <is>
          <t>Chunks 300/400/40</t>
        </is>
      </c>
      <c r="C13" s="2" t="inlineStr">
        <is>
          <t>W1</t>
        </is>
      </c>
      <c r="D13" s="2">
        <f>COUNTIFS(Retrieval!$A$2:$A$402,A13,Retrieval!$B$2:$B$402,C13,Retrieval!$I$2:$I$402,"&lt;&gt;n/a")</f>
        <v/>
      </c>
      <c r="E13" s="2">
        <f>COUNTIFS(Retrieval!$A$2:$A$402,A13,Retrieval!$B$2:$B$402,C13,Retrieval!$I$2:$I$402,"yes")</f>
        <v/>
      </c>
      <c r="F13" s="2">
        <f>COUNTIFS(Retrieval!$A$2:$A$402,A13,Retrieval!$B$2:$B$402,C13,Retrieval!$J$2:$J$402,"yes")</f>
        <v/>
      </c>
      <c r="G13" s="5">
        <f>IF(D13=0,0,E13/D13)</f>
        <v/>
      </c>
      <c r="H13" s="5">
        <f>IF(D13=0,0,F13/D13)</f>
        <v/>
      </c>
      <c r="I13" s="2">
        <f>IF(COUNTIFS(Structure!$A:$A,A13,Structure!$C:$C,C13,Structure!$D:$D,"succeeded")&gt;0,"yes","no")</f>
        <v/>
      </c>
      <c r="J13" s="2">
        <f>IF(I13="no","Poor (not published)",IF(H13&gt;=0.9,"Good",IF(H13&gt;=0.75,"Acceptable","Poor")))</f>
        <v/>
      </c>
    </row>
    <row r="14">
      <c r="A14" s="2" t="inlineStr">
        <is>
          <t>R6</t>
        </is>
      </c>
      <c r="B14" s="2" t="inlineStr">
        <is>
          <t>Chunks 300/400/40</t>
        </is>
      </c>
      <c r="C14" s="2" t="inlineStr">
        <is>
          <t>W2</t>
        </is>
      </c>
      <c r="D14" s="2">
        <f>COUNTIFS(Retrieval!$A$2:$A$402,A14,Retrieval!$B$2:$B$402,C14,Retrieval!$I$2:$I$402,"&lt;&gt;n/a")</f>
        <v/>
      </c>
      <c r="E14" s="2">
        <f>COUNTIFS(Retrieval!$A$2:$A$402,A14,Retrieval!$B$2:$B$402,C14,Retrieval!$I$2:$I$402,"yes")</f>
        <v/>
      </c>
      <c r="F14" s="2">
        <f>COUNTIFS(Retrieval!$A$2:$A$402,A14,Retrieval!$B$2:$B$402,C14,Retrieval!$J$2:$J$402,"yes")</f>
        <v/>
      </c>
      <c r="G14" s="5">
        <f>IF(D14=0,0,E14/D14)</f>
        <v/>
      </c>
      <c r="H14" s="5">
        <f>IF(D14=0,0,F14/D14)</f>
        <v/>
      </c>
      <c r="I14" s="2">
        <f>IF(COUNTIFS(Structure!$A:$A,A14,Structure!$C:$C,C14,Structure!$D:$D,"succeeded")&gt;0,"yes","no")</f>
        <v/>
      </c>
      <c r="J14" s="2">
        <f>IF(I14="no","Poor (not published)",IF(H14&gt;=0.9,"Good",IF(H14&gt;=0.75,"Acceptable","Poor")))</f>
        <v/>
      </c>
    </row>
    <row r="15">
      <c r="A15" s="2" t="inlineStr">
        <is>
          <t>R6</t>
        </is>
      </c>
      <c r="B15" s="2" t="inlineStr">
        <is>
          <t>Chunks 300/400/40</t>
        </is>
      </c>
      <c r="C15" s="2" t="inlineStr">
        <is>
          <t>W3</t>
        </is>
      </c>
      <c r="D15" s="2">
        <f>COUNTIFS(Retrieval!$A$2:$A$402,A15,Retrieval!$B$2:$B$402,C15,Retrieval!$I$2:$I$402,"&lt;&gt;n/a")</f>
        <v/>
      </c>
      <c r="E15" s="2">
        <f>COUNTIFS(Retrieval!$A$2:$A$402,A15,Retrieval!$B$2:$B$402,C15,Retrieval!$I$2:$I$402,"yes")</f>
        <v/>
      </c>
      <c r="F15" s="2">
        <f>COUNTIFS(Retrieval!$A$2:$A$402,A15,Retrieval!$B$2:$B$402,C15,Retrieval!$J$2:$J$402,"yes")</f>
        <v/>
      </c>
      <c r="G15" s="5">
        <f>IF(D15=0,0,E15/D15)</f>
        <v/>
      </c>
      <c r="H15" s="5">
        <f>IF(D15=0,0,F15/D15)</f>
        <v/>
      </c>
      <c r="I15" s="2">
        <f>IF(COUNTIFS(Structure!$A:$A,A15,Structure!$C:$C,C15,Structure!$D:$D,"succeeded")&gt;0,"yes","no")</f>
        <v/>
      </c>
      <c r="J15" s="2">
        <f>IF(I15="no","Poor (not published)",IF(H15&gt;=0.9,"Good",IF(H15&gt;=0.75,"Acceptable","Poor")))</f>
        <v/>
      </c>
    </row>
    <row r="16">
      <c r="A16" s="2" t="inlineStr">
        <is>
          <t>R6</t>
        </is>
      </c>
      <c r="B16" s="2" t="inlineStr">
        <is>
          <t>Chunks 300/400/40</t>
        </is>
      </c>
      <c r="C16" s="2" t="inlineStr">
        <is>
          <t>W4</t>
        </is>
      </c>
      <c r="D16" s="2">
        <f>COUNTIFS(Retrieval!$A$2:$A$402,A16,Retrieval!$B$2:$B$402,C16,Retrieval!$I$2:$I$402,"&lt;&gt;n/a")</f>
        <v/>
      </c>
      <c r="E16" s="2">
        <f>COUNTIFS(Retrieval!$A$2:$A$402,A16,Retrieval!$B$2:$B$402,C16,Retrieval!$I$2:$I$402,"yes")</f>
        <v/>
      </c>
      <c r="F16" s="2">
        <f>COUNTIFS(Retrieval!$A$2:$A$402,A16,Retrieval!$B$2:$B$402,C16,Retrieval!$J$2:$J$402,"yes")</f>
        <v/>
      </c>
      <c r="G16" s="5">
        <f>IF(D16=0,0,E16/D16)</f>
        <v/>
      </c>
      <c r="H16" s="5">
        <f>IF(D16=0,0,F16/D16)</f>
        <v/>
      </c>
      <c r="I16" s="2">
        <f>IF(COUNTIFS(Structure!$A:$A,A16,Structure!$C:$C,C16,Structure!$D:$D,"succeeded")&gt;0,"yes","no")</f>
        <v/>
      </c>
      <c r="J16" s="2">
        <f>IF(I16="no","Poor (not published)",IF(H16&gt;=0.9,"Good",IF(H16&gt;=0.75,"Acceptable","Poor")))</f>
        <v/>
      </c>
    </row>
    <row r="17">
      <c r="A17" s="2" t="inlineStr">
        <is>
          <t>A1</t>
        </is>
      </c>
      <c r="B17" s="2" t="inlineStr">
        <is>
          <t>After fixes: recommended (v3)</t>
        </is>
      </c>
      <c r="C17" s="2" t="inlineStr">
        <is>
          <t>W1</t>
        </is>
      </c>
      <c r="D17" s="2">
        <f>COUNTIFS(Retrieval!$A$2:$A$402,A17,Retrieval!$B$2:$B$402,C17,Retrieval!$I$2:$I$402,"&lt;&gt;n/a")</f>
        <v/>
      </c>
      <c r="E17" s="2">
        <f>COUNTIFS(Retrieval!$A$2:$A$402,A17,Retrieval!$B$2:$B$402,C17,Retrieval!$I$2:$I$402,"yes")</f>
        <v/>
      </c>
      <c r="F17" s="2">
        <f>COUNTIFS(Retrieval!$A$2:$A$402,A17,Retrieval!$B$2:$B$402,C17,Retrieval!$J$2:$J$402,"yes")</f>
        <v/>
      </c>
      <c r="G17" s="5">
        <f>IF(D17=0,0,E17/D17)</f>
        <v/>
      </c>
      <c r="H17" s="5">
        <f>IF(D17=0,0,F17/D17)</f>
        <v/>
      </c>
      <c r="I17" s="2">
        <f>IF(COUNTIFS(Structure!$A:$A,A17,Structure!$C:$C,C17,Structure!$D:$D,"succeeded")&gt;0,"yes","no")</f>
        <v/>
      </c>
      <c r="J17" s="2">
        <f>IF(I17="no","Poor (not published)",IF(H17&gt;=0.9,"Good",IF(H17&gt;=0.75,"Acceptable","Poor")))</f>
        <v/>
      </c>
    </row>
    <row r="18">
      <c r="A18" s="2" t="inlineStr">
        <is>
          <t>A1</t>
        </is>
      </c>
      <c r="B18" s="2" t="inlineStr">
        <is>
          <t>After fixes: recommended (v3)</t>
        </is>
      </c>
      <c r="C18" s="2" t="inlineStr">
        <is>
          <t>W2</t>
        </is>
      </c>
      <c r="D18" s="2">
        <f>COUNTIFS(Retrieval!$A$2:$A$402,A18,Retrieval!$B$2:$B$402,C18,Retrieval!$I$2:$I$402,"&lt;&gt;n/a")</f>
        <v/>
      </c>
      <c r="E18" s="2">
        <f>COUNTIFS(Retrieval!$A$2:$A$402,A18,Retrieval!$B$2:$B$402,C18,Retrieval!$I$2:$I$402,"yes")</f>
        <v/>
      </c>
      <c r="F18" s="2">
        <f>COUNTIFS(Retrieval!$A$2:$A$402,A18,Retrieval!$B$2:$B$402,C18,Retrieval!$J$2:$J$402,"yes")</f>
        <v/>
      </c>
      <c r="G18" s="5">
        <f>IF(D18=0,0,E18/D18)</f>
        <v/>
      </c>
      <c r="H18" s="5">
        <f>IF(D18=0,0,F18/D18)</f>
        <v/>
      </c>
      <c r="I18" s="2">
        <f>IF(COUNTIFS(Structure!$A:$A,A18,Structure!$C:$C,C18,Structure!$D:$D,"succeeded")&gt;0,"yes","no")</f>
        <v/>
      </c>
      <c r="J18" s="2">
        <f>IF(I18="no","Poor (not published)",IF(H18&gt;=0.9,"Good",IF(H18&gt;=0.75,"Acceptable","Poor")))</f>
        <v/>
      </c>
    </row>
    <row r="19">
      <c r="A19" s="2" t="inlineStr">
        <is>
          <t>A1</t>
        </is>
      </c>
      <c r="B19" s="2" t="inlineStr">
        <is>
          <t>After fixes: recommended (v3)</t>
        </is>
      </c>
      <c r="C19" s="2" t="inlineStr">
        <is>
          <t>W3</t>
        </is>
      </c>
      <c r="D19" s="2">
        <f>COUNTIFS(Retrieval!$A$2:$A$402,A19,Retrieval!$B$2:$B$402,C19,Retrieval!$I$2:$I$402,"&lt;&gt;n/a")</f>
        <v/>
      </c>
      <c r="E19" s="2">
        <f>COUNTIFS(Retrieval!$A$2:$A$402,A19,Retrieval!$B$2:$B$402,C19,Retrieval!$I$2:$I$402,"yes")</f>
        <v/>
      </c>
      <c r="F19" s="2">
        <f>COUNTIFS(Retrieval!$A$2:$A$402,A19,Retrieval!$B$2:$B$402,C19,Retrieval!$J$2:$J$402,"yes")</f>
        <v/>
      </c>
      <c r="G19" s="5">
        <f>IF(D19=0,0,E19/D19)</f>
        <v/>
      </c>
      <c r="H19" s="5">
        <f>IF(D19=0,0,F19/D19)</f>
        <v/>
      </c>
      <c r="I19" s="2">
        <f>IF(COUNTIFS(Structure!$A:$A,A19,Structure!$C:$C,C19,Structure!$D:$D,"succeeded")&gt;0,"yes","no")</f>
        <v/>
      </c>
      <c r="J19" s="2">
        <f>IF(I19="no","Poor (not published)",IF(H19&gt;=0.9,"Good",IF(H19&gt;=0.75,"Acceptable","Poor")))</f>
        <v/>
      </c>
    </row>
    <row r="20">
      <c r="A20" s="2" t="inlineStr">
        <is>
          <t>A1</t>
        </is>
      </c>
      <c r="B20" s="2" t="inlineStr">
        <is>
          <t>After fixes: recommended (v3)</t>
        </is>
      </c>
      <c r="C20" s="2" t="inlineStr">
        <is>
          <t>W4</t>
        </is>
      </c>
      <c r="D20" s="2">
        <f>COUNTIFS(Retrieval!$A$2:$A$402,A20,Retrieval!$B$2:$B$402,C20,Retrieval!$I$2:$I$402,"&lt;&gt;n/a")</f>
        <v/>
      </c>
      <c r="E20" s="2">
        <f>COUNTIFS(Retrieval!$A$2:$A$402,A20,Retrieval!$B$2:$B$402,C20,Retrieval!$I$2:$I$402,"yes")</f>
        <v/>
      </c>
      <c r="F20" s="2">
        <f>COUNTIFS(Retrieval!$A$2:$A$402,A20,Retrieval!$B$2:$B$402,C20,Retrieval!$J$2:$J$402,"yes")</f>
        <v/>
      </c>
      <c r="G20" s="5">
        <f>IF(D20=0,0,E20/D20)</f>
        <v/>
      </c>
      <c r="H20" s="5">
        <f>IF(D20=0,0,F20/D20)</f>
        <v/>
      </c>
      <c r="I20" s="2">
        <f>IF(COUNTIFS(Structure!$A:$A,A20,Structure!$C:$C,C20,Structure!$D:$D,"succeeded")&gt;0,"yes","no")</f>
        <v/>
      </c>
      <c r="J20" s="2">
        <f>IF(I20="no","Poor (not published)",IF(H20&gt;=0.9,"Good",IF(H20&gt;=0.75,"Acceptable","Poor")))</f>
        <v/>
      </c>
    </row>
    <row r="21">
      <c r="A21" s="2" t="inlineStr">
        <is>
          <t>R1</t>
        </is>
      </c>
      <c r="B21" s="2" t="inlineStr">
        <is>
          <t>Recommended settings (v2)</t>
        </is>
      </c>
      <c r="C21" s="2" t="inlineStr">
        <is>
          <t>F1</t>
        </is>
      </c>
      <c r="D21" s="2">
        <f>COUNTIFS(Retrieval!$A$2:$A$402,A21,Retrieval!$B$2:$B$402,C21,Retrieval!$I$2:$I$402,"&lt;&gt;n/a")</f>
        <v/>
      </c>
      <c r="E21" s="2">
        <f>COUNTIFS(Retrieval!$A$2:$A$402,A21,Retrieval!$B$2:$B$402,C21,Retrieval!$I$2:$I$402,"yes")</f>
        <v/>
      </c>
      <c r="F21" s="2">
        <f>COUNTIFS(Retrieval!$A$2:$A$402,A21,Retrieval!$B$2:$B$402,C21,Retrieval!$J$2:$J$402,"yes")</f>
        <v/>
      </c>
      <c r="G21" s="5">
        <f>IF(D21=0,0,E21/D21)</f>
        <v/>
      </c>
      <c r="H21" s="5">
        <f>IF(D21=0,0,F21/D21)</f>
        <v/>
      </c>
      <c r="I21" s="2">
        <f>IF(COUNTIFS(Structure!$A:$A,A21,Structure!$C:$C,C21,Structure!$D:$D,"succeeded")&gt;0,"yes","no")</f>
        <v/>
      </c>
      <c r="J21" s="2">
        <f>IF(I21="no","Poor (not published)",IF(H21&gt;=0.9,"Good",IF(H21&gt;=0.75,"Acceptable","Poor")))</f>
        <v/>
      </c>
    </row>
    <row r="22">
      <c r="A22" s="2" t="inlineStr">
        <is>
          <t>R1</t>
        </is>
      </c>
      <c r="B22" s="2" t="inlineStr">
        <is>
          <t>Recommended settings (v2)</t>
        </is>
      </c>
      <c r="C22" s="2" t="inlineStr">
        <is>
          <t>F2</t>
        </is>
      </c>
      <c r="D22" s="2">
        <f>COUNTIFS(Retrieval!$A$2:$A$402,A22,Retrieval!$B$2:$B$402,C22,Retrieval!$I$2:$I$402,"&lt;&gt;n/a")</f>
        <v/>
      </c>
      <c r="E22" s="2">
        <f>COUNTIFS(Retrieval!$A$2:$A$402,A22,Retrieval!$B$2:$B$402,C22,Retrieval!$I$2:$I$402,"yes")</f>
        <v/>
      </c>
      <c r="F22" s="2">
        <f>COUNTIFS(Retrieval!$A$2:$A$402,A22,Retrieval!$B$2:$B$402,C22,Retrieval!$J$2:$J$402,"yes")</f>
        <v/>
      </c>
      <c r="G22" s="5">
        <f>IF(D22=0,0,E22/D22)</f>
        <v/>
      </c>
      <c r="H22" s="5">
        <f>IF(D22=0,0,F22/D22)</f>
        <v/>
      </c>
      <c r="I22" s="2">
        <f>IF(COUNTIFS(Structure!$A:$A,A22,Structure!$C:$C,C22,Structure!$D:$D,"succeeded")&gt;0,"yes","no")</f>
        <v/>
      </c>
      <c r="J22" s="2">
        <f>IF(I22="no","Poor (not published)",IF(H22&gt;=0.9,"Good",IF(H22&gt;=0.75,"Acceptable","Poor")))</f>
        <v/>
      </c>
    </row>
    <row r="23">
      <c r="A23" s="2" t="inlineStr">
        <is>
          <t>R1</t>
        </is>
      </c>
      <c r="B23" s="2" t="inlineStr">
        <is>
          <t>Recommended settings (v2)</t>
        </is>
      </c>
      <c r="C23" s="2" t="inlineStr">
        <is>
          <t>F3</t>
        </is>
      </c>
      <c r="D23" s="2">
        <f>COUNTIFS(Retrieval!$A$2:$A$402,A23,Retrieval!$B$2:$B$402,C23,Retrieval!$I$2:$I$402,"&lt;&gt;n/a")</f>
        <v/>
      </c>
      <c r="E23" s="2">
        <f>COUNTIFS(Retrieval!$A$2:$A$402,A23,Retrieval!$B$2:$B$402,C23,Retrieval!$I$2:$I$402,"yes")</f>
        <v/>
      </c>
      <c r="F23" s="2">
        <f>COUNTIFS(Retrieval!$A$2:$A$402,A23,Retrieval!$B$2:$B$402,C23,Retrieval!$J$2:$J$402,"yes")</f>
        <v/>
      </c>
      <c r="G23" s="5">
        <f>IF(D23=0,0,E23/D23)</f>
        <v/>
      </c>
      <c r="H23" s="5">
        <f>IF(D23=0,0,F23/D23)</f>
        <v/>
      </c>
      <c r="I23" s="2">
        <f>IF(COUNTIFS(Structure!$A:$A,A23,Structure!$C:$C,C23,Structure!$D:$D,"succeeded")&gt;0,"yes","no")</f>
        <v/>
      </c>
      <c r="J23" s="2">
        <f>IF(I23="no","Poor (not published)",IF(H23&gt;=0.9,"Good",IF(H23&gt;=0.75,"Acceptable","Poor")))</f>
        <v/>
      </c>
    </row>
    <row r="24">
      <c r="A24" s="2" t="inlineStr">
        <is>
          <t>R1w</t>
        </is>
      </c>
      <c r="B24" s="2" t="inlineStr">
        <is>
          <t>Recommended, publish others with warnings</t>
        </is>
      </c>
      <c r="C24" s="2" t="inlineStr">
        <is>
          <t>F1</t>
        </is>
      </c>
      <c r="D24" s="2">
        <f>COUNTIFS(Retrieval!$A$2:$A$402,A24,Retrieval!$B$2:$B$402,C24,Retrieval!$I$2:$I$402,"&lt;&gt;n/a")</f>
        <v/>
      </c>
      <c r="E24" s="2">
        <f>COUNTIFS(Retrieval!$A$2:$A$402,A24,Retrieval!$B$2:$B$402,C24,Retrieval!$I$2:$I$402,"yes")</f>
        <v/>
      </c>
      <c r="F24" s="2">
        <f>COUNTIFS(Retrieval!$A$2:$A$402,A24,Retrieval!$B$2:$B$402,C24,Retrieval!$J$2:$J$402,"yes")</f>
        <v/>
      </c>
      <c r="G24" s="5">
        <f>IF(D24=0,0,E24/D24)</f>
        <v/>
      </c>
      <c r="H24" s="5">
        <f>IF(D24=0,0,F24/D24)</f>
        <v/>
      </c>
      <c r="I24" s="2">
        <f>IF(COUNTIFS(Structure!$A:$A,A24,Structure!$C:$C,C24,Structure!$D:$D,"succeeded")&gt;0,"yes","no")</f>
        <v/>
      </c>
      <c r="J24" s="2">
        <f>IF(I24="no","Poor (not published)",IF(H24&gt;=0.9,"Good",IF(H24&gt;=0.75,"Acceptable","Poor")))</f>
        <v/>
      </c>
    </row>
    <row r="25">
      <c r="A25" s="2" t="inlineStr">
        <is>
          <t>R1w</t>
        </is>
      </c>
      <c r="B25" s="2" t="inlineStr">
        <is>
          <t>Recommended, publish others with warnings</t>
        </is>
      </c>
      <c r="C25" s="2" t="inlineStr">
        <is>
          <t>F2</t>
        </is>
      </c>
      <c r="D25" s="2">
        <f>COUNTIFS(Retrieval!$A$2:$A$402,A25,Retrieval!$B$2:$B$402,C25,Retrieval!$I$2:$I$402,"&lt;&gt;n/a")</f>
        <v/>
      </c>
      <c r="E25" s="2">
        <f>COUNTIFS(Retrieval!$A$2:$A$402,A25,Retrieval!$B$2:$B$402,C25,Retrieval!$I$2:$I$402,"yes")</f>
        <v/>
      </c>
      <c r="F25" s="2">
        <f>COUNTIFS(Retrieval!$A$2:$A$402,A25,Retrieval!$B$2:$B$402,C25,Retrieval!$J$2:$J$402,"yes")</f>
        <v/>
      </c>
      <c r="G25" s="5">
        <f>IF(D25=0,0,E25/D25)</f>
        <v/>
      </c>
      <c r="H25" s="5">
        <f>IF(D25=0,0,F25/D25)</f>
        <v/>
      </c>
      <c r="I25" s="2">
        <f>IF(COUNTIFS(Structure!$A:$A,A25,Structure!$C:$C,C25,Structure!$D:$D,"succeeded")&gt;0,"yes","no")</f>
        <v/>
      </c>
      <c r="J25" s="2">
        <f>IF(I25="no","Poor (not published)",IF(H25&gt;=0.9,"Good",IF(H25&gt;=0.75,"Acceptable","Poor")))</f>
        <v/>
      </c>
    </row>
    <row r="26">
      <c r="A26" s="2" t="inlineStr">
        <is>
          <t>R1w</t>
        </is>
      </c>
      <c r="B26" s="2" t="inlineStr">
        <is>
          <t>Recommended, publish others with warnings</t>
        </is>
      </c>
      <c r="C26" s="2" t="inlineStr">
        <is>
          <t>F3</t>
        </is>
      </c>
      <c r="D26" s="2">
        <f>COUNTIFS(Retrieval!$A$2:$A$402,A26,Retrieval!$B$2:$B$402,C26,Retrieval!$I$2:$I$402,"&lt;&gt;n/a")</f>
        <v/>
      </c>
      <c r="E26" s="2">
        <f>COUNTIFS(Retrieval!$A$2:$A$402,A26,Retrieval!$B$2:$B$402,C26,Retrieval!$I$2:$I$402,"yes")</f>
        <v/>
      </c>
      <c r="F26" s="2">
        <f>COUNTIFS(Retrieval!$A$2:$A$402,A26,Retrieval!$B$2:$B$402,C26,Retrieval!$J$2:$J$402,"yes")</f>
        <v/>
      </c>
      <c r="G26" s="5">
        <f>IF(D26=0,0,E26/D26)</f>
        <v/>
      </c>
      <c r="H26" s="5">
        <f>IF(D26=0,0,F26/D26)</f>
        <v/>
      </c>
      <c r="I26" s="2">
        <f>IF(COUNTIFS(Structure!$A:$A,A26,Structure!$C:$C,C26,Structure!$D:$D,"succeeded")&gt;0,"yes","no")</f>
        <v/>
      </c>
      <c r="J26" s="2">
        <f>IF(I26="no","Poor (not published)",IF(H26&gt;=0.9,"Good",IF(H26&gt;=0.75,"Acceptable","Poor")))</f>
        <v/>
      </c>
    </row>
    <row r="27">
      <c r="A27" s="2" t="inlineStr">
        <is>
          <t>R2</t>
        </is>
      </c>
      <c r="B27" s="2" t="inlineStr">
        <is>
          <t>Extractor layout-ocr-v1</t>
        </is>
      </c>
      <c r="C27" s="2" t="inlineStr">
        <is>
          <t>F1</t>
        </is>
      </c>
      <c r="D27" s="2">
        <f>COUNTIFS(Retrieval!$A$2:$A$402,A27,Retrieval!$B$2:$B$402,C27,Retrieval!$I$2:$I$402,"&lt;&gt;n/a")</f>
        <v/>
      </c>
      <c r="E27" s="2">
        <f>COUNTIFS(Retrieval!$A$2:$A$402,A27,Retrieval!$B$2:$B$402,C27,Retrieval!$I$2:$I$402,"yes")</f>
        <v/>
      </c>
      <c r="F27" s="2">
        <f>COUNTIFS(Retrieval!$A$2:$A$402,A27,Retrieval!$B$2:$B$402,C27,Retrieval!$J$2:$J$402,"yes")</f>
        <v/>
      </c>
      <c r="G27" s="5">
        <f>IF(D27=0,0,E27/D27)</f>
        <v/>
      </c>
      <c r="H27" s="5">
        <f>IF(D27=0,0,F27/D27)</f>
        <v/>
      </c>
      <c r="I27" s="2">
        <f>IF(COUNTIFS(Structure!$A:$A,A27,Structure!$C:$C,C27,Structure!$D:$D,"succeeded")&gt;0,"yes","no")</f>
        <v/>
      </c>
      <c r="J27" s="2">
        <f>IF(I27="no","Poor (not published)",IF(H27&gt;=0.9,"Good",IF(H27&gt;=0.75,"Acceptable","Poor")))</f>
        <v/>
      </c>
    </row>
    <row r="28">
      <c r="A28" s="2" t="inlineStr">
        <is>
          <t>R2</t>
        </is>
      </c>
      <c r="B28" s="2" t="inlineStr">
        <is>
          <t>Extractor layout-ocr-v1</t>
        </is>
      </c>
      <c r="C28" s="2" t="inlineStr">
        <is>
          <t>F2</t>
        </is>
      </c>
      <c r="D28" s="2">
        <f>COUNTIFS(Retrieval!$A$2:$A$402,A28,Retrieval!$B$2:$B$402,C28,Retrieval!$I$2:$I$402,"&lt;&gt;n/a")</f>
        <v/>
      </c>
      <c r="E28" s="2">
        <f>COUNTIFS(Retrieval!$A$2:$A$402,A28,Retrieval!$B$2:$B$402,C28,Retrieval!$I$2:$I$402,"yes")</f>
        <v/>
      </c>
      <c r="F28" s="2">
        <f>COUNTIFS(Retrieval!$A$2:$A$402,A28,Retrieval!$B$2:$B$402,C28,Retrieval!$J$2:$J$402,"yes")</f>
        <v/>
      </c>
      <c r="G28" s="5">
        <f>IF(D28=0,0,E28/D28)</f>
        <v/>
      </c>
      <c r="H28" s="5">
        <f>IF(D28=0,0,F28/D28)</f>
        <v/>
      </c>
      <c r="I28" s="2">
        <f>IF(COUNTIFS(Structure!$A:$A,A28,Structure!$C:$C,C28,Structure!$D:$D,"succeeded")&gt;0,"yes","no")</f>
        <v/>
      </c>
      <c r="J28" s="2">
        <f>IF(I28="no","Poor (not published)",IF(H28&gt;=0.9,"Good",IF(H28&gt;=0.75,"Acceptable","Poor")))</f>
        <v/>
      </c>
    </row>
    <row r="29">
      <c r="A29" s="2" t="inlineStr">
        <is>
          <t>R2</t>
        </is>
      </c>
      <c r="B29" s="2" t="inlineStr">
        <is>
          <t>Extractor layout-ocr-v1</t>
        </is>
      </c>
      <c r="C29" s="2" t="inlineStr">
        <is>
          <t>F3</t>
        </is>
      </c>
      <c r="D29" s="2">
        <f>COUNTIFS(Retrieval!$A$2:$A$402,A29,Retrieval!$B$2:$B$402,C29,Retrieval!$I$2:$I$402,"&lt;&gt;n/a")</f>
        <v/>
      </c>
      <c r="E29" s="2">
        <f>COUNTIFS(Retrieval!$A$2:$A$402,A29,Retrieval!$B$2:$B$402,C29,Retrieval!$I$2:$I$402,"yes")</f>
        <v/>
      </c>
      <c r="F29" s="2">
        <f>COUNTIFS(Retrieval!$A$2:$A$402,A29,Retrieval!$B$2:$B$402,C29,Retrieval!$J$2:$J$402,"yes")</f>
        <v/>
      </c>
      <c r="G29" s="5">
        <f>IF(D29=0,0,E29/D29)</f>
        <v/>
      </c>
      <c r="H29" s="5">
        <f>IF(D29=0,0,F29/D29)</f>
        <v/>
      </c>
      <c r="I29" s="2">
        <f>IF(COUNTIFS(Structure!$A:$A,A29,Structure!$C:$C,C29,Structure!$D:$D,"succeeded")&gt;0,"yes","no")</f>
        <v/>
      </c>
      <c r="J29" s="2">
        <f>IF(I29="no","Poor (not published)",IF(H29&gt;=0.9,"Good",IF(H29&gt;=0.75,"Acceptable","Poor")))</f>
        <v/>
      </c>
    </row>
    <row r="30">
      <c r="A30" s="2" t="inlineStr">
        <is>
          <t>R3a</t>
        </is>
      </c>
      <c r="B30" s="2" t="inlineStr">
        <is>
          <t>OCR 300 DPI, 100 pages</t>
        </is>
      </c>
      <c r="C30" s="2" t="inlineStr">
        <is>
          <t>F1</t>
        </is>
      </c>
      <c r="D30" s="2">
        <f>COUNTIFS(Retrieval!$A$2:$A$402,A30,Retrieval!$B$2:$B$402,C30,Retrieval!$I$2:$I$402,"&lt;&gt;n/a")</f>
        <v/>
      </c>
      <c r="E30" s="2">
        <f>COUNTIFS(Retrieval!$A$2:$A$402,A30,Retrieval!$B$2:$B$402,C30,Retrieval!$I$2:$I$402,"yes")</f>
        <v/>
      </c>
      <c r="F30" s="2">
        <f>COUNTIFS(Retrieval!$A$2:$A$402,A30,Retrieval!$B$2:$B$402,C30,Retrieval!$J$2:$J$402,"yes")</f>
        <v/>
      </c>
      <c r="G30" s="5">
        <f>IF(D30=0,0,E30/D30)</f>
        <v/>
      </c>
      <c r="H30" s="5">
        <f>IF(D30=0,0,F30/D30)</f>
        <v/>
      </c>
      <c r="I30" s="2">
        <f>IF(COUNTIFS(Structure!$A:$A,A30,Structure!$C:$C,C30,Structure!$D:$D,"succeeded")&gt;0,"yes","no")</f>
        <v/>
      </c>
      <c r="J30" s="2">
        <f>IF(I30="no","Poor (not published)",IF(H30&gt;=0.9,"Good",IF(H30&gt;=0.75,"Acceptable","Poor")))</f>
        <v/>
      </c>
    </row>
    <row r="31">
      <c r="A31" s="2" t="inlineStr">
        <is>
          <t>R3a</t>
        </is>
      </c>
      <c r="B31" s="2" t="inlineStr">
        <is>
          <t>OCR 300 DPI, 100 pages</t>
        </is>
      </c>
      <c r="C31" s="2" t="inlineStr">
        <is>
          <t>F2</t>
        </is>
      </c>
      <c r="D31" s="2">
        <f>COUNTIFS(Retrieval!$A$2:$A$402,A31,Retrieval!$B$2:$B$402,C31,Retrieval!$I$2:$I$402,"&lt;&gt;n/a")</f>
        <v/>
      </c>
      <c r="E31" s="2">
        <f>COUNTIFS(Retrieval!$A$2:$A$402,A31,Retrieval!$B$2:$B$402,C31,Retrieval!$I$2:$I$402,"yes")</f>
        <v/>
      </c>
      <c r="F31" s="2">
        <f>COUNTIFS(Retrieval!$A$2:$A$402,A31,Retrieval!$B$2:$B$402,C31,Retrieval!$J$2:$J$402,"yes")</f>
        <v/>
      </c>
      <c r="G31" s="5">
        <f>IF(D31=0,0,E31/D31)</f>
        <v/>
      </c>
      <c r="H31" s="5">
        <f>IF(D31=0,0,F31/D31)</f>
        <v/>
      </c>
      <c r="I31" s="2">
        <f>IF(COUNTIFS(Structure!$A:$A,A31,Structure!$C:$C,C31,Structure!$D:$D,"succeeded")&gt;0,"yes","no")</f>
        <v/>
      </c>
      <c r="J31" s="2">
        <f>IF(I31="no","Poor (not published)",IF(H31&gt;=0.9,"Good",IF(H31&gt;=0.75,"Acceptable","Poor")))</f>
        <v/>
      </c>
    </row>
    <row r="32">
      <c r="A32" s="2" t="inlineStr">
        <is>
          <t>R3a</t>
        </is>
      </c>
      <c r="B32" s="2" t="inlineStr">
        <is>
          <t>OCR 300 DPI, 100 pages</t>
        </is>
      </c>
      <c r="C32" s="2" t="inlineStr">
        <is>
          <t>F3</t>
        </is>
      </c>
      <c r="D32" s="2">
        <f>COUNTIFS(Retrieval!$A$2:$A$402,A32,Retrieval!$B$2:$B$402,C32,Retrieval!$I$2:$I$402,"&lt;&gt;n/a")</f>
        <v/>
      </c>
      <c r="E32" s="2">
        <f>COUNTIFS(Retrieval!$A$2:$A$402,A32,Retrieval!$B$2:$B$402,C32,Retrieval!$I$2:$I$402,"yes")</f>
        <v/>
      </c>
      <c r="F32" s="2">
        <f>COUNTIFS(Retrieval!$A$2:$A$402,A32,Retrieval!$B$2:$B$402,C32,Retrieval!$J$2:$J$402,"yes")</f>
        <v/>
      </c>
      <c r="G32" s="5">
        <f>IF(D32=0,0,E32/D32)</f>
        <v/>
      </c>
      <c r="H32" s="5">
        <f>IF(D32=0,0,F32/D32)</f>
        <v/>
      </c>
      <c r="I32" s="2">
        <f>IF(COUNTIFS(Structure!$A:$A,A32,Structure!$C:$C,C32,Structure!$D:$D,"succeeded")&gt;0,"yes","no")</f>
        <v/>
      </c>
      <c r="J32" s="2">
        <f>IF(I32="no","Poor (not published)",IF(H32&gt;=0.9,"Good",IF(H32&gt;=0.75,"Acceptable","Poor")))</f>
        <v/>
      </c>
    </row>
    <row r="33">
      <c r="A33" s="2" t="inlineStr">
        <is>
          <t>R3b</t>
        </is>
      </c>
      <c r="B33" s="2" t="inlineStr">
        <is>
          <t>OCR off</t>
        </is>
      </c>
      <c r="C33" s="2" t="inlineStr">
        <is>
          <t>F1</t>
        </is>
      </c>
      <c r="D33" s="2">
        <f>COUNTIFS(Retrieval!$A$2:$A$402,A33,Retrieval!$B$2:$B$402,C33,Retrieval!$I$2:$I$402,"&lt;&gt;n/a")</f>
        <v/>
      </c>
      <c r="E33" s="2">
        <f>COUNTIFS(Retrieval!$A$2:$A$402,A33,Retrieval!$B$2:$B$402,C33,Retrieval!$I$2:$I$402,"yes")</f>
        <v/>
      </c>
      <c r="F33" s="2">
        <f>COUNTIFS(Retrieval!$A$2:$A$402,A33,Retrieval!$B$2:$B$402,C33,Retrieval!$J$2:$J$402,"yes")</f>
        <v/>
      </c>
      <c r="G33" s="5">
        <f>IF(D33=0,0,E33/D33)</f>
        <v/>
      </c>
      <c r="H33" s="5">
        <f>IF(D33=0,0,F33/D33)</f>
        <v/>
      </c>
      <c r="I33" s="2">
        <f>IF(COUNTIFS(Structure!$A:$A,A33,Structure!$C:$C,C33,Structure!$D:$D,"succeeded")&gt;0,"yes","no")</f>
        <v/>
      </c>
      <c r="J33" s="2">
        <f>IF(I33="no","Poor (not published)",IF(H33&gt;=0.9,"Good",IF(H33&gt;=0.75,"Acceptable","Poor")))</f>
        <v/>
      </c>
    </row>
    <row r="34">
      <c r="A34" s="2" t="inlineStr">
        <is>
          <t>R3b</t>
        </is>
      </c>
      <c r="B34" s="2" t="inlineStr">
        <is>
          <t>OCR off</t>
        </is>
      </c>
      <c r="C34" s="2" t="inlineStr">
        <is>
          <t>F2</t>
        </is>
      </c>
      <c r="D34" s="2">
        <f>COUNTIFS(Retrieval!$A$2:$A$402,A34,Retrieval!$B$2:$B$402,C34,Retrieval!$I$2:$I$402,"&lt;&gt;n/a")</f>
        <v/>
      </c>
      <c r="E34" s="2">
        <f>COUNTIFS(Retrieval!$A$2:$A$402,A34,Retrieval!$B$2:$B$402,C34,Retrieval!$I$2:$I$402,"yes")</f>
        <v/>
      </c>
      <c r="F34" s="2">
        <f>COUNTIFS(Retrieval!$A$2:$A$402,A34,Retrieval!$B$2:$B$402,C34,Retrieval!$J$2:$J$402,"yes")</f>
        <v/>
      </c>
      <c r="G34" s="5">
        <f>IF(D34=0,0,E34/D34)</f>
        <v/>
      </c>
      <c r="H34" s="5">
        <f>IF(D34=0,0,F34/D34)</f>
        <v/>
      </c>
      <c r="I34" s="2">
        <f>IF(COUNTIFS(Structure!$A:$A,A34,Structure!$C:$C,C34,Structure!$D:$D,"succeeded")&gt;0,"yes","no")</f>
        <v/>
      </c>
      <c r="J34" s="2">
        <f>IF(I34="no","Poor (not published)",IF(H34&gt;=0.9,"Good",IF(H34&gt;=0.75,"Acceptable","Poor")))</f>
        <v/>
      </c>
    </row>
    <row r="35">
      <c r="A35" s="2" t="inlineStr">
        <is>
          <t>R3b</t>
        </is>
      </c>
      <c r="B35" s="2" t="inlineStr">
        <is>
          <t>OCR off</t>
        </is>
      </c>
      <c r="C35" s="2" t="inlineStr">
        <is>
          <t>F3</t>
        </is>
      </c>
      <c r="D35" s="2">
        <f>COUNTIFS(Retrieval!$A$2:$A$402,A35,Retrieval!$B$2:$B$402,C35,Retrieval!$I$2:$I$402,"&lt;&gt;n/a")</f>
        <v/>
      </c>
      <c r="E35" s="2">
        <f>COUNTIFS(Retrieval!$A$2:$A$402,A35,Retrieval!$B$2:$B$402,C35,Retrieval!$I$2:$I$402,"yes")</f>
        <v/>
      </c>
      <c r="F35" s="2">
        <f>COUNTIFS(Retrieval!$A$2:$A$402,A35,Retrieval!$B$2:$B$402,C35,Retrieval!$J$2:$J$402,"yes")</f>
        <v/>
      </c>
      <c r="G35" s="5">
        <f>IF(D35=0,0,E35/D35)</f>
        <v/>
      </c>
      <c r="H35" s="5">
        <f>IF(D35=0,0,F35/D35)</f>
        <v/>
      </c>
      <c r="I35" s="2">
        <f>IF(COUNTIFS(Structure!$A:$A,A35,Structure!$C:$C,C35,Structure!$D:$D,"succeeded")&gt;0,"yes","no")</f>
        <v/>
      </c>
      <c r="J35" s="2">
        <f>IF(I35="no","Poor (not published)",IF(H35&gt;=0.9,"Good",IF(H35&gt;=0.75,"Acceptable","Poor")))</f>
        <v/>
      </c>
    </row>
    <row r="36">
      <c r="A36" s="2" t="inlineStr">
        <is>
          <t>R4</t>
        </is>
      </c>
      <c r="B36" s="2" t="inlineStr">
        <is>
          <t>Table evidence plain text</t>
        </is>
      </c>
      <c r="C36" s="2" t="inlineStr">
        <is>
          <t>F1</t>
        </is>
      </c>
      <c r="D36" s="2">
        <f>COUNTIFS(Retrieval!$A$2:$A$402,A36,Retrieval!$B$2:$B$402,C36,Retrieval!$I$2:$I$402,"&lt;&gt;n/a")</f>
        <v/>
      </c>
      <c r="E36" s="2">
        <f>COUNTIFS(Retrieval!$A$2:$A$402,A36,Retrieval!$B$2:$B$402,C36,Retrieval!$I$2:$I$402,"yes")</f>
        <v/>
      </c>
      <c r="F36" s="2">
        <f>COUNTIFS(Retrieval!$A$2:$A$402,A36,Retrieval!$B$2:$B$402,C36,Retrieval!$J$2:$J$402,"yes")</f>
        <v/>
      </c>
      <c r="G36" s="5">
        <f>IF(D36=0,0,E36/D36)</f>
        <v/>
      </c>
      <c r="H36" s="5">
        <f>IF(D36=0,0,F36/D36)</f>
        <v/>
      </c>
      <c r="I36" s="2">
        <f>IF(COUNTIFS(Structure!$A:$A,A36,Structure!$C:$C,C36,Structure!$D:$D,"succeeded")&gt;0,"yes","no")</f>
        <v/>
      </c>
      <c r="J36" s="2">
        <f>IF(I36="no","Poor (not published)",IF(H36&gt;=0.9,"Good",IF(H36&gt;=0.75,"Acceptable","Poor")))</f>
        <v/>
      </c>
    </row>
    <row r="37">
      <c r="A37" s="2" t="inlineStr">
        <is>
          <t>R4</t>
        </is>
      </c>
      <c r="B37" s="2" t="inlineStr">
        <is>
          <t>Table evidence plain text</t>
        </is>
      </c>
      <c r="C37" s="2" t="inlineStr">
        <is>
          <t>F2</t>
        </is>
      </c>
      <c r="D37" s="2">
        <f>COUNTIFS(Retrieval!$A$2:$A$402,A37,Retrieval!$B$2:$B$402,C37,Retrieval!$I$2:$I$402,"&lt;&gt;n/a")</f>
        <v/>
      </c>
      <c r="E37" s="2">
        <f>COUNTIFS(Retrieval!$A$2:$A$402,A37,Retrieval!$B$2:$B$402,C37,Retrieval!$I$2:$I$402,"yes")</f>
        <v/>
      </c>
      <c r="F37" s="2">
        <f>COUNTIFS(Retrieval!$A$2:$A$402,A37,Retrieval!$B$2:$B$402,C37,Retrieval!$J$2:$J$402,"yes")</f>
        <v/>
      </c>
      <c r="G37" s="5">
        <f>IF(D37=0,0,E37/D37)</f>
        <v/>
      </c>
      <c r="H37" s="5">
        <f>IF(D37=0,0,F37/D37)</f>
        <v/>
      </c>
      <c r="I37" s="2">
        <f>IF(COUNTIFS(Structure!$A:$A,A37,Structure!$C:$C,C37,Structure!$D:$D,"succeeded")&gt;0,"yes","no")</f>
        <v/>
      </c>
      <c r="J37" s="2">
        <f>IF(I37="no","Poor (not published)",IF(H37&gt;=0.9,"Good",IF(H37&gt;=0.75,"Acceptable","Poor")))</f>
        <v/>
      </c>
    </row>
    <row r="38">
      <c r="A38" s="2" t="inlineStr">
        <is>
          <t>R4</t>
        </is>
      </c>
      <c r="B38" s="2" t="inlineStr">
        <is>
          <t>Table evidence plain text</t>
        </is>
      </c>
      <c r="C38" s="2" t="inlineStr">
        <is>
          <t>F3</t>
        </is>
      </c>
      <c r="D38" s="2">
        <f>COUNTIFS(Retrieval!$A$2:$A$402,A38,Retrieval!$B$2:$B$402,C38,Retrieval!$I$2:$I$402,"&lt;&gt;n/a")</f>
        <v/>
      </c>
      <c r="E38" s="2">
        <f>COUNTIFS(Retrieval!$A$2:$A$402,A38,Retrieval!$B$2:$B$402,C38,Retrieval!$I$2:$I$402,"yes")</f>
        <v/>
      </c>
      <c r="F38" s="2">
        <f>COUNTIFS(Retrieval!$A$2:$A$402,A38,Retrieval!$B$2:$B$402,C38,Retrieval!$J$2:$J$402,"yes")</f>
        <v/>
      </c>
      <c r="G38" s="5">
        <f>IF(D38=0,0,E38/D38)</f>
        <v/>
      </c>
      <c r="H38" s="5">
        <f>IF(D38=0,0,F38/D38)</f>
        <v/>
      </c>
      <c r="I38" s="2">
        <f>IF(COUNTIFS(Structure!$A:$A,A38,Structure!$C:$C,C38,Structure!$D:$D,"succeeded")&gt;0,"yes","no")</f>
        <v/>
      </c>
      <c r="J38" s="2">
        <f>IF(I38="no","Poor (not published)",IF(H38&gt;=0.9,"Good",IF(H38&gt;=0.75,"Acceptable","Poor")))</f>
        <v/>
      </c>
    </row>
    <row r="39">
      <c r="A39" s="2" t="inlineStr">
        <is>
          <t>R6</t>
        </is>
      </c>
      <c r="B39" s="2" t="inlineStr">
        <is>
          <t>Chunks 300/400/40</t>
        </is>
      </c>
      <c r="C39" s="2" t="inlineStr">
        <is>
          <t>F1</t>
        </is>
      </c>
      <c r="D39" s="2">
        <f>COUNTIFS(Retrieval!$A$2:$A$402,A39,Retrieval!$B$2:$B$402,C39,Retrieval!$I$2:$I$402,"&lt;&gt;n/a")</f>
        <v/>
      </c>
      <c r="E39" s="2">
        <f>COUNTIFS(Retrieval!$A$2:$A$402,A39,Retrieval!$B$2:$B$402,C39,Retrieval!$I$2:$I$402,"yes")</f>
        <v/>
      </c>
      <c r="F39" s="2">
        <f>COUNTIFS(Retrieval!$A$2:$A$402,A39,Retrieval!$B$2:$B$402,C39,Retrieval!$J$2:$J$402,"yes")</f>
        <v/>
      </c>
      <c r="G39" s="5">
        <f>IF(D39=0,0,E39/D39)</f>
        <v/>
      </c>
      <c r="H39" s="5">
        <f>IF(D39=0,0,F39/D39)</f>
        <v/>
      </c>
      <c r="I39" s="2">
        <f>IF(COUNTIFS(Structure!$A:$A,A39,Structure!$C:$C,C39,Structure!$D:$D,"succeeded")&gt;0,"yes","no")</f>
        <v/>
      </c>
      <c r="J39" s="2">
        <f>IF(I39="no","Poor (not published)",IF(H39&gt;=0.9,"Good",IF(H39&gt;=0.75,"Acceptable","Poor")))</f>
        <v/>
      </c>
    </row>
    <row r="40">
      <c r="A40" s="2" t="inlineStr">
        <is>
          <t>R6</t>
        </is>
      </c>
      <c r="B40" s="2" t="inlineStr">
        <is>
          <t>Chunks 300/400/40</t>
        </is>
      </c>
      <c r="C40" s="2" t="inlineStr">
        <is>
          <t>F2</t>
        </is>
      </c>
      <c r="D40" s="2">
        <f>COUNTIFS(Retrieval!$A$2:$A$402,A40,Retrieval!$B$2:$B$402,C40,Retrieval!$I$2:$I$402,"&lt;&gt;n/a")</f>
        <v/>
      </c>
      <c r="E40" s="2">
        <f>COUNTIFS(Retrieval!$A$2:$A$402,A40,Retrieval!$B$2:$B$402,C40,Retrieval!$I$2:$I$402,"yes")</f>
        <v/>
      </c>
      <c r="F40" s="2">
        <f>COUNTIFS(Retrieval!$A$2:$A$402,A40,Retrieval!$B$2:$B$402,C40,Retrieval!$J$2:$J$402,"yes")</f>
        <v/>
      </c>
      <c r="G40" s="5">
        <f>IF(D40=0,0,E40/D40)</f>
        <v/>
      </c>
      <c r="H40" s="5">
        <f>IF(D40=0,0,F40/D40)</f>
        <v/>
      </c>
      <c r="I40" s="2">
        <f>IF(COUNTIFS(Structure!$A:$A,A40,Structure!$C:$C,C40,Structure!$D:$D,"succeeded")&gt;0,"yes","no")</f>
        <v/>
      </c>
      <c r="J40" s="2">
        <f>IF(I40="no","Poor (not published)",IF(H40&gt;=0.9,"Good",IF(H40&gt;=0.75,"Acceptable","Poor")))</f>
        <v/>
      </c>
    </row>
    <row r="41">
      <c r="A41" s="2" t="inlineStr">
        <is>
          <t>R6</t>
        </is>
      </c>
      <c r="B41" s="2" t="inlineStr">
        <is>
          <t>Chunks 300/400/40</t>
        </is>
      </c>
      <c r="C41" s="2" t="inlineStr">
        <is>
          <t>F3</t>
        </is>
      </c>
      <c r="D41" s="2">
        <f>COUNTIFS(Retrieval!$A$2:$A$402,A41,Retrieval!$B$2:$B$402,C41,Retrieval!$I$2:$I$402,"&lt;&gt;n/a")</f>
        <v/>
      </c>
      <c r="E41" s="2">
        <f>COUNTIFS(Retrieval!$A$2:$A$402,A41,Retrieval!$B$2:$B$402,C41,Retrieval!$I$2:$I$402,"yes")</f>
        <v/>
      </c>
      <c r="F41" s="2">
        <f>COUNTIFS(Retrieval!$A$2:$A$402,A41,Retrieval!$B$2:$B$402,C41,Retrieval!$J$2:$J$402,"yes")</f>
        <v/>
      </c>
      <c r="G41" s="5">
        <f>IF(D41=0,0,E41/D41)</f>
        <v/>
      </c>
      <c r="H41" s="5">
        <f>IF(D41=0,0,F41/D41)</f>
        <v/>
      </c>
      <c r="I41" s="2">
        <f>IF(COUNTIFS(Structure!$A:$A,A41,Structure!$C:$C,C41,Structure!$D:$D,"succeeded")&gt;0,"yes","no")</f>
        <v/>
      </c>
      <c r="J41" s="2">
        <f>IF(I41="no","Poor (not published)",IF(H41&gt;=0.9,"Good",IF(H41&gt;=0.75,"Acceptable","Poor")))</f>
        <v/>
      </c>
    </row>
    <row r="42">
      <c r="A42" s="2" t="inlineStr">
        <is>
          <t>A1</t>
        </is>
      </c>
      <c r="B42" s="2" t="inlineStr">
        <is>
          <t>After fixes: recommended (v3)</t>
        </is>
      </c>
      <c r="C42" s="2" t="inlineStr">
        <is>
          <t>F1</t>
        </is>
      </c>
      <c r="D42" s="2">
        <f>COUNTIFS(Retrieval!$A$2:$A$402,A42,Retrieval!$B$2:$B$402,C42,Retrieval!$I$2:$I$402,"&lt;&gt;n/a")</f>
        <v/>
      </c>
      <c r="E42" s="2">
        <f>COUNTIFS(Retrieval!$A$2:$A$402,A42,Retrieval!$B$2:$B$402,C42,Retrieval!$I$2:$I$402,"yes")</f>
        <v/>
      </c>
      <c r="F42" s="2">
        <f>COUNTIFS(Retrieval!$A$2:$A$402,A42,Retrieval!$B$2:$B$402,C42,Retrieval!$J$2:$J$402,"yes")</f>
        <v/>
      </c>
      <c r="G42" s="5">
        <f>IF(D42=0,0,E42/D42)</f>
        <v/>
      </c>
      <c r="H42" s="5">
        <f>IF(D42=0,0,F42/D42)</f>
        <v/>
      </c>
      <c r="I42" s="2">
        <f>IF(COUNTIFS(Structure!$A:$A,A42,Structure!$C:$C,C42,Structure!$D:$D,"succeeded")&gt;0,"yes","no")</f>
        <v/>
      </c>
      <c r="J42" s="2">
        <f>IF(I42="no","Poor (not published)",IF(H42&gt;=0.9,"Good",IF(H42&gt;=0.75,"Acceptable","Poor")))</f>
        <v/>
      </c>
    </row>
    <row r="43">
      <c r="A43" s="2" t="inlineStr">
        <is>
          <t>A1</t>
        </is>
      </c>
      <c r="B43" s="2" t="inlineStr">
        <is>
          <t>After fixes: recommended (v3)</t>
        </is>
      </c>
      <c r="C43" s="2" t="inlineStr">
        <is>
          <t>F2</t>
        </is>
      </c>
      <c r="D43" s="2">
        <f>COUNTIFS(Retrieval!$A$2:$A$402,A43,Retrieval!$B$2:$B$402,C43,Retrieval!$I$2:$I$402,"&lt;&gt;n/a")</f>
        <v/>
      </c>
      <c r="E43" s="2">
        <f>COUNTIFS(Retrieval!$A$2:$A$402,A43,Retrieval!$B$2:$B$402,C43,Retrieval!$I$2:$I$402,"yes")</f>
        <v/>
      </c>
      <c r="F43" s="2">
        <f>COUNTIFS(Retrieval!$A$2:$A$402,A43,Retrieval!$B$2:$B$402,C43,Retrieval!$J$2:$J$402,"yes")</f>
        <v/>
      </c>
      <c r="G43" s="5">
        <f>IF(D43=0,0,E43/D43)</f>
        <v/>
      </c>
      <c r="H43" s="5">
        <f>IF(D43=0,0,F43/D43)</f>
        <v/>
      </c>
      <c r="I43" s="2">
        <f>IF(COUNTIFS(Structure!$A:$A,A43,Structure!$C:$C,C43,Structure!$D:$D,"succeeded")&gt;0,"yes","no")</f>
        <v/>
      </c>
      <c r="J43" s="2">
        <f>IF(I43="no","Poor (not published)",IF(H43&gt;=0.9,"Good",IF(H43&gt;=0.75,"Acceptable","Poor")))</f>
        <v/>
      </c>
    </row>
    <row r="44">
      <c r="A44" s="2" t="inlineStr">
        <is>
          <t>A1</t>
        </is>
      </c>
      <c r="B44" s="2" t="inlineStr">
        <is>
          <t>After fixes: recommended (v3)</t>
        </is>
      </c>
      <c r="C44" s="2" t="inlineStr">
        <is>
          <t>F3</t>
        </is>
      </c>
      <c r="D44" s="2">
        <f>COUNTIFS(Retrieval!$A$2:$A$402,A44,Retrieval!$B$2:$B$402,C44,Retrieval!$I$2:$I$402,"&lt;&gt;n/a")</f>
        <v/>
      </c>
      <c r="E44" s="2">
        <f>COUNTIFS(Retrieval!$A$2:$A$402,A44,Retrieval!$B$2:$B$402,C44,Retrieval!$I$2:$I$402,"yes")</f>
        <v/>
      </c>
      <c r="F44" s="2">
        <f>COUNTIFS(Retrieval!$A$2:$A$402,A44,Retrieval!$B$2:$B$402,C44,Retrieval!$J$2:$J$402,"yes")</f>
        <v/>
      </c>
      <c r="G44" s="5">
        <f>IF(D44=0,0,E44/D44)</f>
        <v/>
      </c>
      <c r="H44" s="5">
        <f>IF(D44=0,0,F44/D44)</f>
        <v/>
      </c>
      <c r="I44" s="2">
        <f>IF(COUNTIFS(Structure!$A:$A,A44,Structure!$C:$C,C44,Structure!$D:$D,"succeeded")&gt;0,"yes","no")</f>
        <v/>
      </c>
      <c r="J44" s="2">
        <f>IF(I44="no","Poor (not published)",IF(H44&gt;=0.9,"Good",IF(H44&gt;=0.75,"Acceptable","Poor")))</f>
        <v/>
      </c>
    </row>
    <row r="45">
      <c r="A45" s="2" t="inlineStr">
        <is>
          <t>A2</t>
        </is>
      </c>
      <c r="B45" s="2" t="inlineStr">
        <is>
          <t>Extract v4: recommended</t>
        </is>
      </c>
      <c r="C45" s="2" t="inlineStr">
        <is>
          <t>F1</t>
        </is>
      </c>
      <c r="D45" s="2">
        <f>COUNTIFS(Retrieval!$A$2:$A$402,A45,Retrieval!$B$2:$B$402,C45,Retrieval!$I$2:$I$402,"&lt;&gt;n/a")</f>
        <v/>
      </c>
      <c r="E45" s="2">
        <f>COUNTIFS(Retrieval!$A$2:$A$402,A45,Retrieval!$B$2:$B$402,C45,Retrieval!$I$2:$I$402,"yes")</f>
        <v/>
      </c>
      <c r="F45" s="2">
        <f>COUNTIFS(Retrieval!$A$2:$A$402,A45,Retrieval!$B$2:$B$402,C45,Retrieval!$J$2:$J$402,"yes")</f>
        <v/>
      </c>
      <c r="G45" s="5">
        <f>IF(D45=0,0,E45/D45)</f>
        <v/>
      </c>
      <c r="H45" s="5">
        <f>IF(D45=0,0,F45/D45)</f>
        <v/>
      </c>
      <c r="I45" s="2">
        <f>IF(COUNTIFS(Structure!$A:$A,A45,Structure!$C:$C,C45,Structure!$D:$D,"succeeded")&gt;0,"yes","no")</f>
        <v/>
      </c>
      <c r="J45" s="2">
        <f>IF(I45="no","Poor (not published)",IF(H45&gt;=0.9,"Good",IF(H45&gt;=0.75,"Acceptable","Poor")))</f>
        <v/>
      </c>
    </row>
    <row r="46">
      <c r="A46" s="2" t="inlineStr">
        <is>
          <t>A2</t>
        </is>
      </c>
      <c r="B46" s="2" t="inlineStr">
        <is>
          <t>Extract v4: recommended</t>
        </is>
      </c>
      <c r="C46" s="2" t="inlineStr">
        <is>
          <t>F2</t>
        </is>
      </c>
      <c r="D46" s="2">
        <f>COUNTIFS(Retrieval!$A$2:$A$402,A46,Retrieval!$B$2:$B$402,C46,Retrieval!$I$2:$I$402,"&lt;&gt;n/a")</f>
        <v/>
      </c>
      <c r="E46" s="2">
        <f>COUNTIFS(Retrieval!$A$2:$A$402,A46,Retrieval!$B$2:$B$402,C46,Retrieval!$I$2:$I$402,"yes")</f>
        <v/>
      </c>
      <c r="F46" s="2">
        <f>COUNTIFS(Retrieval!$A$2:$A$402,A46,Retrieval!$B$2:$B$402,C46,Retrieval!$J$2:$J$402,"yes")</f>
        <v/>
      </c>
      <c r="G46" s="5">
        <f>IF(D46=0,0,E46/D46)</f>
        <v/>
      </c>
      <c r="H46" s="5">
        <f>IF(D46=0,0,F46/D46)</f>
        <v/>
      </c>
      <c r="I46" s="2">
        <f>IF(COUNTIFS(Structure!$A:$A,A46,Structure!$C:$C,C46,Structure!$D:$D,"succeeded")&gt;0,"yes","no")</f>
        <v/>
      </c>
      <c r="J46" s="2">
        <f>IF(I46="no","Poor (not published)",IF(H46&gt;=0.9,"Good",IF(H46&gt;=0.75,"Acceptable","Poor")))</f>
        <v/>
      </c>
    </row>
    <row r="47">
      <c r="A47" s="2" t="inlineStr">
        <is>
          <t>A2</t>
        </is>
      </c>
      <c r="B47" s="2" t="inlineStr">
        <is>
          <t>Extract v4: recommended</t>
        </is>
      </c>
      <c r="C47" s="2" t="inlineStr">
        <is>
          <t>F3</t>
        </is>
      </c>
      <c r="D47" s="2">
        <f>COUNTIFS(Retrieval!$A$2:$A$402,A47,Retrieval!$B$2:$B$402,C47,Retrieval!$I$2:$I$402,"&lt;&gt;n/a")</f>
        <v/>
      </c>
      <c r="E47" s="2">
        <f>COUNTIFS(Retrieval!$A$2:$A$402,A47,Retrieval!$B$2:$B$402,C47,Retrieval!$I$2:$I$402,"yes")</f>
        <v/>
      </c>
      <c r="F47" s="2">
        <f>COUNTIFS(Retrieval!$A$2:$A$402,A47,Retrieval!$B$2:$B$402,C47,Retrieval!$J$2:$J$402,"yes")</f>
        <v/>
      </c>
      <c r="G47" s="5">
        <f>IF(D47=0,0,E47/D47)</f>
        <v/>
      </c>
      <c r="H47" s="5">
        <f>IF(D47=0,0,F47/D47)</f>
        <v/>
      </c>
      <c r="I47" s="2">
        <f>IF(COUNTIFS(Structure!$A:$A,A47,Structure!$C:$C,C47,Structure!$D:$D,"succeeded")&gt;0,"yes","no")</f>
        <v/>
      </c>
      <c r="J47" s="2">
        <f>IF(I47="no","Poor (not published)",IF(H47&gt;=0.9,"Good",IF(H47&gt;=0.75,"Acceptable","Poor")))</f>
        <v/>
      </c>
    </row>
    <row r="48">
      <c r="A48" s="2" t="inlineStr">
        <is>
          <t>A3</t>
        </is>
      </c>
      <c r="B48" s="2" t="inlineStr">
        <is>
          <t>Extract v5: recommended</t>
        </is>
      </c>
      <c r="C48" s="2" t="inlineStr">
        <is>
          <t>F1</t>
        </is>
      </c>
      <c r="D48" s="2">
        <f>COUNTIFS(Retrieval!$A$2:$A$402,A48,Retrieval!$B$2:$B$402,C48,Retrieval!$I$2:$I$402,"&lt;&gt;n/a")</f>
        <v/>
      </c>
      <c r="E48" s="2">
        <f>COUNTIFS(Retrieval!$A$2:$A$402,A48,Retrieval!$B$2:$B$402,C48,Retrieval!$I$2:$I$402,"yes")</f>
        <v/>
      </c>
      <c r="F48" s="2">
        <f>COUNTIFS(Retrieval!$A$2:$A$402,A48,Retrieval!$B$2:$B$402,C48,Retrieval!$J$2:$J$402,"yes")</f>
        <v/>
      </c>
      <c r="G48" s="5">
        <f>IF(D48=0,0,E48/D48)</f>
        <v/>
      </c>
      <c r="H48" s="5">
        <f>IF(D48=0,0,F48/D48)</f>
        <v/>
      </c>
      <c r="I48" s="2">
        <f>IF(COUNTIFS(Structure!$A:$A,A48,Structure!$C:$C,C48,Structure!$D:$D,"succeeded")&gt;0,"yes","no")</f>
        <v/>
      </c>
      <c r="J48" s="2">
        <f>IF(I48="no","Poor (not published)",IF(H48&gt;=0.9,"Good",IF(H48&gt;=0.75,"Acceptable","Poor")))</f>
        <v/>
      </c>
    </row>
    <row r="49">
      <c r="A49" s="2" t="inlineStr">
        <is>
          <t>A3</t>
        </is>
      </c>
      <c r="B49" s="2" t="inlineStr">
        <is>
          <t>Extract v5: recommended</t>
        </is>
      </c>
      <c r="C49" s="2" t="inlineStr">
        <is>
          <t>F2</t>
        </is>
      </c>
      <c r="D49" s="2">
        <f>COUNTIFS(Retrieval!$A$2:$A$402,A49,Retrieval!$B$2:$B$402,C49,Retrieval!$I$2:$I$402,"&lt;&gt;n/a")</f>
        <v/>
      </c>
      <c r="E49" s="2">
        <f>COUNTIFS(Retrieval!$A$2:$A$402,A49,Retrieval!$B$2:$B$402,C49,Retrieval!$I$2:$I$402,"yes")</f>
        <v/>
      </c>
      <c r="F49" s="2">
        <f>COUNTIFS(Retrieval!$A$2:$A$402,A49,Retrieval!$B$2:$B$402,C49,Retrieval!$J$2:$J$402,"yes")</f>
        <v/>
      </c>
      <c r="G49" s="5">
        <f>IF(D49=0,0,E49/D49)</f>
        <v/>
      </c>
      <c r="H49" s="5">
        <f>IF(D49=0,0,F49/D49)</f>
        <v/>
      </c>
      <c r="I49" s="2">
        <f>IF(COUNTIFS(Structure!$A:$A,A49,Structure!$C:$C,C49,Structure!$D:$D,"succeeded")&gt;0,"yes","no")</f>
        <v/>
      </c>
      <c r="J49" s="2">
        <f>IF(I49="no","Poor (not published)",IF(H49&gt;=0.9,"Good",IF(H49&gt;=0.75,"Acceptable","Poor")))</f>
        <v/>
      </c>
    </row>
    <row r="50">
      <c r="A50" s="2" t="inlineStr">
        <is>
          <t>A3</t>
        </is>
      </c>
      <c r="B50" s="2" t="inlineStr">
        <is>
          <t>Extract v5: recommended</t>
        </is>
      </c>
      <c r="C50" s="2" t="inlineStr">
        <is>
          <t>F3</t>
        </is>
      </c>
      <c r="D50" s="2">
        <f>COUNTIFS(Retrieval!$A$2:$A$402,A50,Retrieval!$B$2:$B$402,C50,Retrieval!$I$2:$I$402,"&lt;&gt;n/a")</f>
        <v/>
      </c>
      <c r="E50" s="2">
        <f>COUNTIFS(Retrieval!$A$2:$A$402,A50,Retrieval!$B$2:$B$402,C50,Retrieval!$I$2:$I$402,"yes")</f>
        <v/>
      </c>
      <c r="F50" s="2">
        <f>COUNTIFS(Retrieval!$A$2:$A$402,A50,Retrieval!$B$2:$B$402,C50,Retrieval!$J$2:$J$402,"yes")</f>
        <v/>
      </c>
      <c r="G50" s="5">
        <f>IF(D50=0,0,E50/D50)</f>
        <v/>
      </c>
      <c r="H50" s="5">
        <f>IF(D50=0,0,F50/D50)</f>
        <v/>
      </c>
      <c r="I50" s="2">
        <f>IF(COUNTIFS(Structure!$A:$A,A50,Structure!$C:$C,C50,Structure!$D:$D,"succeeded")&gt;0,"yes","no")</f>
        <v/>
      </c>
      <c r="J50" s="2">
        <f>IF(I50="no","Poor (not published)",IF(H50&gt;=0.9,"Good",IF(H50&gt;=0.75,"Acceptable","Poor")))</f>
        <v/>
      </c>
    </row>
    <row r="51">
      <c r="A51" s="2" t="inlineStr">
        <is>
          <t>A2</t>
        </is>
      </c>
      <c r="B51" s="2" t="inlineStr">
        <is>
          <t>Extract v4: recommended</t>
        </is>
      </c>
      <c r="C51" s="2" t="inlineStr">
        <is>
          <t>F4</t>
        </is>
      </c>
      <c r="D51" s="2">
        <f>COUNTIFS(Retrieval!$A$2:$A$402,A51,Retrieval!$B$2:$B$402,C51,Retrieval!$I$2:$I$402,"&lt;&gt;n/a")</f>
        <v/>
      </c>
      <c r="E51" s="2">
        <f>COUNTIFS(Retrieval!$A$2:$A$402,A51,Retrieval!$B$2:$B$402,C51,Retrieval!$I$2:$I$402,"yes")</f>
        <v/>
      </c>
      <c r="F51" s="2">
        <f>COUNTIFS(Retrieval!$A$2:$A$402,A51,Retrieval!$B$2:$B$402,C51,Retrieval!$J$2:$J$402,"yes")</f>
        <v/>
      </c>
      <c r="G51" s="5">
        <f>IF(D51=0,0,E51/D51)</f>
        <v/>
      </c>
      <c r="H51" s="5">
        <f>IF(D51=0,0,F51/D51)</f>
        <v/>
      </c>
      <c r="I51" s="2">
        <f>IF(COUNTIFS(Structure!$A:$A,A51,Structure!$C:$C,C51,Structure!$D:$D,"succeeded")&gt;0,"yes","no")</f>
        <v/>
      </c>
      <c r="J51" s="2">
        <f>IF(I51="no","Poor (not published)",IF(H51&gt;=0.9,"Good",IF(H51&gt;=0.75,"Acceptable","Poor")))</f>
        <v/>
      </c>
    </row>
    <row r="52">
      <c r="A52" s="2" t="inlineStr">
        <is>
          <t>A2</t>
        </is>
      </c>
      <c r="B52" s="2" t="inlineStr">
        <is>
          <t>Extract v4: recommended</t>
        </is>
      </c>
      <c r="C52" s="2" t="inlineStr">
        <is>
          <t>F5</t>
        </is>
      </c>
      <c r="D52" s="2">
        <f>COUNTIFS(Retrieval!$A$2:$A$402,A52,Retrieval!$B$2:$B$402,C52,Retrieval!$I$2:$I$402,"&lt;&gt;n/a")</f>
        <v/>
      </c>
      <c r="E52" s="2">
        <f>COUNTIFS(Retrieval!$A$2:$A$402,A52,Retrieval!$B$2:$B$402,C52,Retrieval!$I$2:$I$402,"yes")</f>
        <v/>
      </c>
      <c r="F52" s="2">
        <f>COUNTIFS(Retrieval!$A$2:$A$402,A52,Retrieval!$B$2:$B$402,C52,Retrieval!$J$2:$J$402,"yes")</f>
        <v/>
      </c>
      <c r="G52" s="5">
        <f>IF(D52=0,0,E52/D52)</f>
        <v/>
      </c>
      <c r="H52" s="5">
        <f>IF(D52=0,0,F52/D52)</f>
        <v/>
      </c>
      <c r="I52" s="2">
        <f>IF(COUNTIFS(Structure!$A:$A,A52,Structure!$C:$C,C52,Structure!$D:$D,"succeeded")&gt;0,"yes","no")</f>
        <v/>
      </c>
      <c r="J52" s="2">
        <f>IF(I52="no","Poor (not published)",IF(H52&gt;=0.9,"Good",IF(H52&gt;=0.75,"Acceptable","Poor")))</f>
        <v/>
      </c>
    </row>
    <row r="53">
      <c r="A53" s="2" t="inlineStr">
        <is>
          <t>A2</t>
        </is>
      </c>
      <c r="B53" s="2" t="inlineStr">
        <is>
          <t>Extract v4: recommended</t>
        </is>
      </c>
      <c r="C53" s="2" t="inlineStr">
        <is>
          <t>F6</t>
        </is>
      </c>
      <c r="D53" s="2">
        <f>COUNTIFS(Retrieval!$A$2:$A$402,A53,Retrieval!$B$2:$B$402,C53,Retrieval!$I$2:$I$402,"&lt;&gt;n/a")</f>
        <v/>
      </c>
      <c r="E53" s="2">
        <f>COUNTIFS(Retrieval!$A$2:$A$402,A53,Retrieval!$B$2:$B$402,C53,Retrieval!$I$2:$I$402,"yes")</f>
        <v/>
      </c>
      <c r="F53" s="2">
        <f>COUNTIFS(Retrieval!$A$2:$A$402,A53,Retrieval!$B$2:$B$402,C53,Retrieval!$J$2:$J$402,"yes")</f>
        <v/>
      </c>
      <c r="G53" s="5">
        <f>IF(D53=0,0,E53/D53)</f>
        <v/>
      </c>
      <c r="H53" s="5">
        <f>IF(D53=0,0,F53/D53)</f>
        <v/>
      </c>
      <c r="I53" s="2">
        <f>IF(COUNTIFS(Structure!$A:$A,A53,Structure!$C:$C,C53,Structure!$D:$D,"succeeded")&gt;0,"yes","no")</f>
        <v/>
      </c>
      <c r="J53" s="2">
        <f>IF(I53="no","Poor (not published)",IF(H53&gt;=0.9,"Good",IF(H53&gt;=0.75,"Acceptable","Poor")))</f>
        <v/>
      </c>
    </row>
    <row r="54">
      <c r="A54" s="2" t="inlineStr">
        <is>
          <t>A2</t>
        </is>
      </c>
      <c r="B54" s="2" t="inlineStr">
        <is>
          <t>Extract v4: recommended</t>
        </is>
      </c>
      <c r="C54" s="2" t="inlineStr">
        <is>
          <t>F7</t>
        </is>
      </c>
      <c r="D54" s="2">
        <f>COUNTIFS(Retrieval!$A$2:$A$402,A54,Retrieval!$B$2:$B$402,C54,Retrieval!$I$2:$I$402,"&lt;&gt;n/a")</f>
        <v/>
      </c>
      <c r="E54" s="2">
        <f>COUNTIFS(Retrieval!$A$2:$A$402,A54,Retrieval!$B$2:$B$402,C54,Retrieval!$I$2:$I$402,"yes")</f>
        <v/>
      </c>
      <c r="F54" s="2">
        <f>COUNTIFS(Retrieval!$A$2:$A$402,A54,Retrieval!$B$2:$B$402,C54,Retrieval!$J$2:$J$402,"yes")</f>
        <v/>
      </c>
      <c r="G54" s="5">
        <f>IF(D54=0,0,E54/D54)</f>
        <v/>
      </c>
      <c r="H54" s="5">
        <f>IF(D54=0,0,F54/D54)</f>
        <v/>
      </c>
      <c r="I54" s="2">
        <f>IF(COUNTIFS(Structure!$A:$A,A54,Structure!$C:$C,C54,Structure!$D:$D,"succeeded")&gt;0,"yes","no")</f>
        <v/>
      </c>
      <c r="J54" s="2">
        <f>IF(I54="no","Poor (not published)",IF(H54&gt;=0.9,"Good",IF(H54&gt;=0.75,"Acceptable","Poor")))</f>
        <v/>
      </c>
    </row>
    <row r="55">
      <c r="A55" s="2" t="inlineStr">
        <is>
          <t>A3</t>
        </is>
      </c>
      <c r="B55" s="2" t="inlineStr">
        <is>
          <t>Extract v5: recommended</t>
        </is>
      </c>
      <c r="C55" s="2" t="inlineStr">
        <is>
          <t>F4</t>
        </is>
      </c>
      <c r="D55" s="2">
        <f>COUNTIFS(Retrieval!$A$2:$A$402,A55,Retrieval!$B$2:$B$402,C55,Retrieval!$I$2:$I$402,"&lt;&gt;n/a")</f>
        <v/>
      </c>
      <c r="E55" s="2">
        <f>COUNTIFS(Retrieval!$A$2:$A$402,A55,Retrieval!$B$2:$B$402,C55,Retrieval!$I$2:$I$402,"yes")</f>
        <v/>
      </c>
      <c r="F55" s="2">
        <f>COUNTIFS(Retrieval!$A$2:$A$402,A55,Retrieval!$B$2:$B$402,C55,Retrieval!$J$2:$J$402,"yes")</f>
        <v/>
      </c>
      <c r="G55" s="5">
        <f>IF(D55=0,0,E55/D55)</f>
        <v/>
      </c>
      <c r="H55" s="5">
        <f>IF(D55=0,0,F55/D55)</f>
        <v/>
      </c>
      <c r="I55" s="2">
        <f>IF(COUNTIFS(Structure!$A:$A,A55,Structure!$C:$C,C55,Structure!$D:$D,"succeeded")&gt;0,"yes","no")</f>
        <v/>
      </c>
      <c r="J55" s="2">
        <f>IF(I55="no","Poor (not published)",IF(H55&gt;=0.9,"Good",IF(H55&gt;=0.75,"Acceptable","Poor")))</f>
        <v/>
      </c>
    </row>
    <row r="56">
      <c r="A56" s="2" t="inlineStr">
        <is>
          <t>A3</t>
        </is>
      </c>
      <c r="B56" s="2" t="inlineStr">
        <is>
          <t>Extract v5: recommended</t>
        </is>
      </c>
      <c r="C56" s="2" t="inlineStr">
        <is>
          <t>F5</t>
        </is>
      </c>
      <c r="D56" s="2">
        <f>COUNTIFS(Retrieval!$A$2:$A$402,A56,Retrieval!$B$2:$B$402,C56,Retrieval!$I$2:$I$402,"&lt;&gt;n/a")</f>
        <v/>
      </c>
      <c r="E56" s="2">
        <f>COUNTIFS(Retrieval!$A$2:$A$402,A56,Retrieval!$B$2:$B$402,C56,Retrieval!$I$2:$I$402,"yes")</f>
        <v/>
      </c>
      <c r="F56" s="2">
        <f>COUNTIFS(Retrieval!$A$2:$A$402,A56,Retrieval!$B$2:$B$402,C56,Retrieval!$J$2:$J$402,"yes")</f>
        <v/>
      </c>
      <c r="G56" s="5">
        <f>IF(D56=0,0,E56/D56)</f>
        <v/>
      </c>
      <c r="H56" s="5">
        <f>IF(D56=0,0,F56/D56)</f>
        <v/>
      </c>
      <c r="I56" s="2">
        <f>IF(COUNTIFS(Structure!$A:$A,A56,Structure!$C:$C,C56,Structure!$D:$D,"succeeded")&gt;0,"yes","no")</f>
        <v/>
      </c>
      <c r="J56" s="2">
        <f>IF(I56="no","Poor (not published)",IF(H56&gt;=0.9,"Good",IF(H56&gt;=0.75,"Acceptable","Poor")))</f>
        <v/>
      </c>
    </row>
    <row r="57">
      <c r="A57" s="2" t="inlineStr">
        <is>
          <t>A3</t>
        </is>
      </c>
      <c r="B57" s="2" t="inlineStr">
        <is>
          <t>Extract v5: recommended</t>
        </is>
      </c>
      <c r="C57" s="2" t="inlineStr">
        <is>
          <t>F6</t>
        </is>
      </c>
      <c r="D57" s="2">
        <f>COUNTIFS(Retrieval!$A$2:$A$402,A57,Retrieval!$B$2:$B$402,C57,Retrieval!$I$2:$I$402,"&lt;&gt;n/a")</f>
        <v/>
      </c>
      <c r="E57" s="2">
        <f>COUNTIFS(Retrieval!$A$2:$A$402,A57,Retrieval!$B$2:$B$402,C57,Retrieval!$I$2:$I$402,"yes")</f>
        <v/>
      </c>
      <c r="F57" s="2">
        <f>COUNTIFS(Retrieval!$A$2:$A$402,A57,Retrieval!$B$2:$B$402,C57,Retrieval!$J$2:$J$402,"yes")</f>
        <v/>
      </c>
      <c r="G57" s="5">
        <f>IF(D57=0,0,E57/D57)</f>
        <v/>
      </c>
      <c r="H57" s="5">
        <f>IF(D57=0,0,F57/D57)</f>
        <v/>
      </c>
      <c r="I57" s="2">
        <f>IF(COUNTIFS(Structure!$A:$A,A57,Structure!$C:$C,C57,Structure!$D:$D,"succeeded")&gt;0,"yes","no")</f>
        <v/>
      </c>
      <c r="J57" s="2">
        <f>IF(I57="no","Poor (not published)",IF(H57&gt;=0.9,"Good",IF(H57&gt;=0.75,"Acceptable","Poor")))</f>
        <v/>
      </c>
    </row>
    <row r="58">
      <c r="A58" s="2" t="inlineStr">
        <is>
          <t>A3</t>
        </is>
      </c>
      <c r="B58" s="2" t="inlineStr">
        <is>
          <t>Extract v5: recommended</t>
        </is>
      </c>
      <c r="C58" s="2" t="inlineStr">
        <is>
          <t>F7</t>
        </is>
      </c>
      <c r="D58" s="2">
        <f>COUNTIFS(Retrieval!$A$2:$A$402,A58,Retrieval!$B$2:$B$402,C58,Retrieval!$I$2:$I$402,"&lt;&gt;n/a")</f>
        <v/>
      </c>
      <c r="E58" s="2">
        <f>COUNTIFS(Retrieval!$A$2:$A$402,A58,Retrieval!$B$2:$B$402,C58,Retrieval!$I$2:$I$402,"yes")</f>
        <v/>
      </c>
      <c r="F58" s="2">
        <f>COUNTIFS(Retrieval!$A$2:$A$402,A58,Retrieval!$B$2:$B$402,C58,Retrieval!$J$2:$J$402,"yes")</f>
        <v/>
      </c>
      <c r="G58" s="5">
        <f>IF(D58=0,0,E58/D58)</f>
        <v/>
      </c>
      <c r="H58" s="5">
        <f>IF(D58=0,0,F58/D58)</f>
        <v/>
      </c>
      <c r="I58" s="2">
        <f>IF(COUNTIFS(Structure!$A:$A,A58,Structure!$C:$C,C58,Structure!$D:$D,"succeeded")&gt;0,"yes","no")</f>
        <v/>
      </c>
      <c r="J58" s="2">
        <f>IF(I58="no","Poor (not published)",IF(H58&gt;=0.9,"Good",IF(H58&gt;=0.75,"Acceptable","Poor")))</f>
        <v/>
      </c>
    </row>
    <row r="59">
      <c r="A59" s="2" t="inlineStr">
        <is>
          <t>A3</t>
        </is>
      </c>
      <c r="B59" s="2" t="inlineStr">
        <is>
          <t>Extract v5: recommended</t>
        </is>
      </c>
      <c r="C59" s="2" t="inlineStr">
        <is>
          <t>G1</t>
        </is>
      </c>
      <c r="D59" s="2">
        <f>COUNTIFS(Retrieval!$A$2:$A$402,A59,Retrieval!$B$2:$B$402,C59,Retrieval!$I$2:$I$402,"&lt;&gt;n/a")</f>
        <v/>
      </c>
      <c r="E59" s="2">
        <f>COUNTIFS(Retrieval!$A$2:$A$402,A59,Retrieval!$B$2:$B$402,C59,Retrieval!$I$2:$I$402,"yes")</f>
        <v/>
      </c>
      <c r="F59" s="2">
        <f>COUNTIFS(Retrieval!$A$2:$A$402,A59,Retrieval!$B$2:$B$402,C59,Retrieval!$J$2:$J$402,"yes")</f>
        <v/>
      </c>
      <c r="G59" s="5">
        <f>IF(D59=0,0,E59/D59)</f>
        <v/>
      </c>
      <c r="H59" s="5">
        <f>IF(D59=0,0,F59/D59)</f>
        <v/>
      </c>
      <c r="I59" s="2">
        <f>IF(COUNTIFS(Structure!$A:$A,A59,Structure!$C:$C,C59,Structure!$D:$D,"succeeded")&gt;0,"yes","no")</f>
        <v/>
      </c>
      <c r="J59" s="2">
        <f>IF(I59="no","Poor (not published)",IF(H59&gt;=0.9,"Good",IF(H59&gt;=0.75,"Acceptable","Poor")))</f>
        <v/>
      </c>
    </row>
    <row r="60">
      <c r="A60" s="2" t="inlineStr">
        <is>
          <t>A3</t>
        </is>
      </c>
      <c r="B60" s="2" t="inlineStr">
        <is>
          <t>Extract v5: recommended</t>
        </is>
      </c>
      <c r="C60" s="2" t="inlineStr">
        <is>
          <t>G2</t>
        </is>
      </c>
      <c r="D60" s="2">
        <f>COUNTIFS(Retrieval!$A$2:$A$402,A60,Retrieval!$B$2:$B$402,C60,Retrieval!$I$2:$I$402,"&lt;&gt;n/a")</f>
        <v/>
      </c>
      <c r="E60" s="2">
        <f>COUNTIFS(Retrieval!$A$2:$A$402,A60,Retrieval!$B$2:$B$402,C60,Retrieval!$I$2:$I$402,"yes")</f>
        <v/>
      </c>
      <c r="F60" s="2">
        <f>COUNTIFS(Retrieval!$A$2:$A$402,A60,Retrieval!$B$2:$B$402,C60,Retrieval!$J$2:$J$402,"yes")</f>
        <v/>
      </c>
      <c r="G60" s="5">
        <f>IF(D60=0,0,E60/D60)</f>
        <v/>
      </c>
      <c r="H60" s="5">
        <f>IF(D60=0,0,F60/D60)</f>
        <v/>
      </c>
      <c r="I60" s="2">
        <f>IF(COUNTIFS(Structure!$A:$A,A60,Structure!$C:$C,C60,Structure!$D:$D,"succeeded")&gt;0,"yes","no")</f>
        <v/>
      </c>
      <c r="J60" s="2">
        <f>IF(I60="no","Poor (not published)",IF(H60&gt;=0.9,"Good",IF(H60&gt;=0.75,"Acceptable","Poor")))</f>
        <v/>
      </c>
    </row>
    <row r="61">
      <c r="A61" s="2" t="inlineStr">
        <is>
          <t>A3</t>
        </is>
      </c>
      <c r="B61" s="2" t="inlineStr">
        <is>
          <t>Extract v5: recommended</t>
        </is>
      </c>
      <c r="C61" s="2" t="inlineStr">
        <is>
          <t>G3</t>
        </is>
      </c>
      <c r="D61" s="2">
        <f>COUNTIFS(Retrieval!$A$2:$A$402,A61,Retrieval!$B$2:$B$402,C61,Retrieval!$I$2:$I$402,"&lt;&gt;n/a")</f>
        <v/>
      </c>
      <c r="E61" s="2">
        <f>COUNTIFS(Retrieval!$A$2:$A$402,A61,Retrieval!$B$2:$B$402,C61,Retrieval!$I$2:$I$402,"yes")</f>
        <v/>
      </c>
      <c r="F61" s="2">
        <f>COUNTIFS(Retrieval!$A$2:$A$402,A61,Retrieval!$B$2:$B$402,C61,Retrieval!$J$2:$J$402,"yes")</f>
        <v/>
      </c>
      <c r="G61" s="5">
        <f>IF(D61=0,0,E61/D61)</f>
        <v/>
      </c>
      <c r="H61" s="5">
        <f>IF(D61=0,0,F61/D61)</f>
        <v/>
      </c>
      <c r="I61" s="2">
        <f>IF(COUNTIFS(Structure!$A:$A,A61,Structure!$C:$C,C61,Structure!$D:$D,"succeeded")&gt;0,"yes","no")</f>
        <v/>
      </c>
      <c r="J61" s="2">
        <f>IF(I61="no","Poor (not published)",IF(H61&gt;=0.9,"Good",IF(H61&gt;=0.75,"Acceptable","Poor")))</f>
        <v/>
      </c>
    </row>
    <row r="62">
      <c r="A62" s="2" t="inlineStr">
        <is>
          <t>A3</t>
        </is>
      </c>
      <c r="B62" s="2" t="inlineStr">
        <is>
          <t>Extract v5: recommended</t>
        </is>
      </c>
      <c r="C62" s="2" t="inlineStr">
        <is>
          <t>G4</t>
        </is>
      </c>
      <c r="D62" s="2">
        <f>COUNTIFS(Retrieval!$A$2:$A$402,A62,Retrieval!$B$2:$B$402,C62,Retrieval!$I$2:$I$402,"&lt;&gt;n/a")</f>
        <v/>
      </c>
      <c r="E62" s="2">
        <f>COUNTIFS(Retrieval!$A$2:$A$402,A62,Retrieval!$B$2:$B$402,C62,Retrieval!$I$2:$I$402,"yes")</f>
        <v/>
      </c>
      <c r="F62" s="2">
        <f>COUNTIFS(Retrieval!$A$2:$A$402,A62,Retrieval!$B$2:$B$402,C62,Retrieval!$J$2:$J$402,"yes")</f>
        <v/>
      </c>
      <c r="G62" s="5">
        <f>IF(D62=0,0,E62/D62)</f>
        <v/>
      </c>
      <c r="H62" s="5">
        <f>IF(D62=0,0,F62/D62)</f>
        <v/>
      </c>
      <c r="I62" s="2">
        <f>IF(COUNTIFS(Structure!$A:$A,A62,Structure!$C:$C,C62,Structure!$D:$D,"succeeded")&gt;0,"yes","no")</f>
        <v/>
      </c>
      <c r="J62" s="2">
        <f>IF(I62="no","Poor (not published)",IF(H62&gt;=0.9,"Good",IF(H62&gt;=0.75,"Acceptable","Poor")))</f>
        <v/>
      </c>
    </row>
    <row r="63">
      <c r="A63" s="2" t="inlineStr">
        <is>
          <t>A3</t>
        </is>
      </c>
      <c r="B63" s="2" t="inlineStr">
        <is>
          <t>Extract v5: recommended</t>
        </is>
      </c>
      <c r="C63" s="2" t="inlineStr">
        <is>
          <t>G5</t>
        </is>
      </c>
      <c r="D63" s="2">
        <f>COUNTIFS(Retrieval!$A$2:$A$402,A63,Retrieval!$B$2:$B$402,C63,Retrieval!$I$2:$I$402,"&lt;&gt;n/a")</f>
        <v/>
      </c>
      <c r="E63" s="2">
        <f>COUNTIFS(Retrieval!$A$2:$A$402,A63,Retrieval!$B$2:$B$402,C63,Retrieval!$I$2:$I$402,"yes")</f>
        <v/>
      </c>
      <c r="F63" s="2">
        <f>COUNTIFS(Retrieval!$A$2:$A$402,A63,Retrieval!$B$2:$B$402,C63,Retrieval!$J$2:$J$402,"yes")</f>
        <v/>
      </c>
      <c r="G63" s="5">
        <f>IF(D63=0,0,E63/D63)</f>
        <v/>
      </c>
      <c r="H63" s="5">
        <f>IF(D63=0,0,F63/D63)</f>
        <v/>
      </c>
      <c r="I63" s="2">
        <f>IF(COUNTIFS(Structure!$A:$A,A63,Structure!$C:$C,C63,Structure!$D:$D,"succeeded")&gt;0,"yes","no")</f>
        <v/>
      </c>
      <c r="J63" s="2">
        <f>IF(I63="no","Poor (not published)",IF(H63&gt;=0.9,"Good",IF(H63&gt;=0.75,"Acceptable","Poor")))</f>
        <v/>
      </c>
    </row>
    <row r="64">
      <c r="A64" s="2" t="inlineStr">
        <is>
          <t>A3</t>
        </is>
      </c>
      <c r="B64" s="2" t="inlineStr">
        <is>
          <t>Extract v5: recommended</t>
        </is>
      </c>
      <c r="C64" s="2" t="inlineStr">
        <is>
          <t>G6</t>
        </is>
      </c>
      <c r="D64" s="2">
        <f>COUNTIFS(Retrieval!$A$2:$A$402,A64,Retrieval!$B$2:$B$402,C64,Retrieval!$I$2:$I$402,"&lt;&gt;n/a")</f>
        <v/>
      </c>
      <c r="E64" s="2">
        <f>COUNTIFS(Retrieval!$A$2:$A$402,A64,Retrieval!$B$2:$B$402,C64,Retrieval!$I$2:$I$402,"yes")</f>
        <v/>
      </c>
      <c r="F64" s="2">
        <f>COUNTIFS(Retrieval!$A$2:$A$402,A64,Retrieval!$B$2:$B$402,C64,Retrieval!$J$2:$J$402,"yes")</f>
        <v/>
      </c>
      <c r="G64" s="5">
        <f>IF(D64=0,0,E64/D64)</f>
        <v/>
      </c>
      <c r="H64" s="5">
        <f>IF(D64=0,0,F64/D64)</f>
        <v/>
      </c>
      <c r="I64" s="2">
        <f>IF(COUNTIFS(Structure!$A:$A,A64,Structure!$C:$C,C64,Structure!$D:$D,"succeeded")&gt;0,"yes","no")</f>
        <v/>
      </c>
      <c r="J64" s="2">
        <f>IF(I64="no","Poor (not published)",IF(H64&gt;=0.9,"Good",IF(H64&gt;=0.75,"Acceptable","Poor")))</f>
        <v/>
      </c>
    </row>
    <row r="65">
      <c r="A65" s="2" t="inlineStr">
        <is>
          <t>A3</t>
        </is>
      </c>
      <c r="B65" s="2" t="inlineStr">
        <is>
          <t>Extract v5: recommended</t>
        </is>
      </c>
      <c r="C65" s="2" t="inlineStr">
        <is>
          <t>G7</t>
        </is>
      </c>
      <c r="D65" s="2">
        <f>COUNTIFS(Retrieval!$A$2:$A$402,A65,Retrieval!$B$2:$B$402,C65,Retrieval!$I$2:$I$402,"&lt;&gt;n/a")</f>
        <v/>
      </c>
      <c r="E65" s="2">
        <f>COUNTIFS(Retrieval!$A$2:$A$402,A65,Retrieval!$B$2:$B$402,C65,Retrieval!$I$2:$I$402,"yes")</f>
        <v/>
      </c>
      <c r="F65" s="2">
        <f>COUNTIFS(Retrieval!$A$2:$A$402,A65,Retrieval!$B$2:$B$402,C65,Retrieval!$J$2:$J$402,"yes")</f>
        <v/>
      </c>
      <c r="G65" s="5">
        <f>IF(D65=0,0,E65/D65)</f>
        <v/>
      </c>
      <c r="H65" s="5">
        <f>IF(D65=0,0,F65/D65)</f>
        <v/>
      </c>
      <c r="I65" s="2">
        <f>IF(COUNTIFS(Structure!$A:$A,A65,Structure!$C:$C,C65,Structure!$D:$D,"succeeded")&gt;0,"yes","no")</f>
        <v/>
      </c>
      <c r="J65" s="2">
        <f>IF(I65="no","Poor (not published)",IF(H65&gt;=0.9,"Good",IF(H65&gt;=0.75,"Acceptable","Poor")))</f>
        <v/>
      </c>
    </row>
    <row r="66">
      <c r="A66" s="2" t="inlineStr">
        <is>
          <t>A3</t>
        </is>
      </c>
      <c r="B66" s="2" t="inlineStr">
        <is>
          <t>Extract v5: recommended</t>
        </is>
      </c>
      <c r="C66" s="2" t="inlineStr">
        <is>
          <t>G8</t>
        </is>
      </c>
      <c r="D66" s="2">
        <f>COUNTIFS(Retrieval!$A$2:$A$402,A66,Retrieval!$B$2:$B$402,C66,Retrieval!$I$2:$I$402,"&lt;&gt;n/a")</f>
        <v/>
      </c>
      <c r="E66" s="2">
        <f>COUNTIFS(Retrieval!$A$2:$A$402,A66,Retrieval!$B$2:$B$402,C66,Retrieval!$I$2:$I$402,"yes")</f>
        <v/>
      </c>
      <c r="F66" s="2">
        <f>COUNTIFS(Retrieval!$A$2:$A$402,A66,Retrieval!$B$2:$B$402,C66,Retrieval!$J$2:$J$402,"yes")</f>
        <v/>
      </c>
      <c r="G66" s="5">
        <f>IF(D66=0,0,E66/D66)</f>
        <v/>
      </c>
      <c r="H66" s="5">
        <f>IF(D66=0,0,F66/D66)</f>
        <v/>
      </c>
      <c r="I66" s="2">
        <f>IF(COUNTIFS(Structure!$A:$A,A66,Structure!$C:$C,C66,Structure!$D:$D,"succeeded")&gt;0,"yes","no")</f>
        <v/>
      </c>
      <c r="J66" s="2">
        <f>IF(I66="no","Poor (not published)",IF(H66&gt;=0.9,"Good",IF(H66&gt;=0.75,"Acceptable","Poor")))</f>
        <v/>
      </c>
    </row>
    <row r="67">
      <c r="A67" s="2" t="n"/>
      <c r="B67" s="2" t="n"/>
      <c r="C67" s="2" t="n"/>
      <c r="D67" s="2" t="n"/>
      <c r="E67" s="2" t="n"/>
      <c r="F67" s="2" t="n"/>
      <c r="G67" s="2" t="n"/>
      <c r="H67" s="2" t="n"/>
      <c r="I67" s="2" t="n"/>
      <c r="J67" s="2" t="n"/>
    </row>
    <row r="68">
      <c r="A68" s="2" t="inlineStr">
        <is>
          <t>Total embedding estimate (USD)</t>
        </is>
      </c>
      <c r="B68" s="2" t="inlineStr"/>
      <c r="C68" s="2" t="inlineStr"/>
      <c r="D68" s="2">
        <f>Runs!S20</f>
        <v/>
      </c>
      <c r="E68" s="2" t="n"/>
      <c r="F68" s="2" t="n"/>
      <c r="G68" s="2" t="n"/>
      <c r="H68" s="2" t="n"/>
      <c r="I68" s="2" t="n"/>
      <c r="J68" s="2" t="n"/>
    </row>
    <row r="69">
      <c r="A69" s="2" t="inlineStr">
        <is>
          <t>Total answer cost (USD)</t>
        </is>
      </c>
      <c r="B69" s="2" t="inlineStr"/>
      <c r="C69" s="2" t="inlineStr"/>
      <c r="D69" s="2">
        <f>Answers!K120</f>
        <v/>
      </c>
      <c r="E69" s="2" t="n"/>
      <c r="F69" s="2" t="n"/>
      <c r="G69" s="2" t="n"/>
      <c r="H69" s="2" t="n"/>
      <c r="I69" s="2" t="n"/>
      <c r="J69" s="2" t="n"/>
    </row>
    <row r="70">
      <c r="A70" s="2" t="inlineStr">
        <is>
          <t>Total spend (USD, embedding upper bound + recorded answers)</t>
        </is>
      </c>
      <c r="B70" s="2" t="inlineStr"/>
      <c r="C70" s="2" t="inlineStr"/>
      <c r="D70" s="2">
        <f>D68+D69</f>
        <v/>
      </c>
      <c r="E70" s="2" t="n"/>
      <c r="F70" s="2" t="n"/>
      <c r="G70" s="2" t="n"/>
      <c r="H70" s="2" t="n"/>
      <c r="I70" s="2" t="n"/>
      <c r="J70" s="2" t="n"/>
    </row>
    <row r="71">
      <c r="A71" s="2" t="inlineStr">
        <is>
          <t>Spending cap (USD)</t>
        </is>
      </c>
      <c r="B71" s="2" t="inlineStr"/>
      <c r="C71" s="2" t="inlineStr"/>
      <c r="D71" s="2" t="n">
        <v>1</v>
      </c>
      <c r="E71" s="2" t="n"/>
      <c r="F71" s="2" t="n"/>
      <c r="G71" s="2" t="n"/>
      <c r="H71" s="2" t="n"/>
      <c r="I71" s="2" t="n"/>
      <c r="J71" s="2" t="n"/>
    </row>
    <row r="72">
      <c r="A72" s="2" t="n"/>
      <c r="B72" s="2" t="n"/>
      <c r="C72" s="2" t="n"/>
      <c r="D72" s="2" t="n"/>
      <c r="E72" s="2" t="n"/>
      <c r="F72" s="2" t="n"/>
      <c r="G72" s="2" t="n"/>
      <c r="H72" s="2" t="n"/>
      <c r="I72" s="2" t="n"/>
      <c r="J72" s="2" t="n"/>
    </row>
    <row r="73">
      <c r="A73" s="2" t="inlineStr">
        <is>
          <t>Recommendation</t>
        </is>
      </c>
      <c r="B73" s="2" t="n"/>
      <c r="C73" s="2" t="n"/>
      <c r="D73" s="2" t="n"/>
      <c r="E73" s="2" t="n"/>
      <c r="F73" s="2" t="n"/>
      <c r="G73" s="2" t="n"/>
      <c r="H73" s="2" t="n"/>
      <c r="I73" s="2" t="n"/>
      <c r="J73" s="2" t="n"/>
    </row>
    <row r="74">
      <c r="A74" s="2" t="inlineStr">
        <is>
          <t>Keep visible: If a file can't be read well, Languages in scanned pages, Chunk size (target / maximum / overlap).</t>
        </is>
      </c>
      <c r="B74" s="2" t="n"/>
      <c r="C74" s="2" t="n"/>
      <c r="D74" s="2" t="n"/>
      <c r="E74" s="2" t="n"/>
      <c r="F74" s="2" t="n"/>
      <c r="G74" s="2" t="n"/>
      <c r="H74" s="2" t="n"/>
      <c r="I74" s="2" t="n"/>
      <c r="J74" s="2" t="n"/>
    </row>
    <row r="75">
      <c r="A75" s="2" t="inlineStr">
        <is>
          <t>Keep in Advanced: Extractor version (v1 / v2), Maximum OCR pages, Quality thresholds (empty pages, characters, OCR confidence, reading order, malformed tables), Language policy (allowlist, confidence, mixed languages).</t>
        </is>
      </c>
      <c r="B75" s="2" t="n"/>
      <c r="C75" s="2" t="n"/>
      <c r="D75" s="2" t="n"/>
      <c r="E75" s="2" t="n"/>
      <c r="F75" s="2" t="n"/>
      <c r="G75" s="2" t="n"/>
      <c r="H75" s="2" t="n"/>
      <c r="I75" s="2" t="n"/>
      <c r="J75" s="2" t="n"/>
    </row>
    <row r="76">
      <c r="A76" s="2" t="inlineStr">
        <is>
          <t>Candidate to remove: Read scanned pages (OCR), OCR resolution (DPI), Per-page OCR timeout, Detect rotation / deskew, Extraction strategy (Auto / Native / Layout-aware), Table evidence (Structured + Markdown / Markdown / Plain text).</t>
        </is>
      </c>
      <c r="B76" s="2" t="n"/>
      <c r="C76" s="2" t="n"/>
      <c r="D76" s="2" t="n"/>
      <c r="E76" s="2" t="n"/>
      <c r="F76" s="2" t="n"/>
      <c r="G76" s="2" t="n"/>
      <c r="H76" s="2" t="n"/>
      <c r="I76" s="2" t="n"/>
      <c r="J76" s="2" t="n"/>
    </row>
    <row r="77">
      <c r="A77" s="2" t="inlineStr">
        <is>
          <t>Fix first: X1 The recommended setting ('Stop and let me review') blocks an ordinary government report. | X2 Borderless PDF tables lose their rows: whole columns are merged into one cell, and cells over 1,000 characters are cut. | X3 'Publish the other files and show warnings' does not publish the others when a file cannot be read.</t>
        </is>
      </c>
      <c r="B77" s="2" t="n"/>
      <c r="C77" s="2" t="n"/>
      <c r="D77" s="2" t="n"/>
      <c r="E77" s="2" t="n"/>
      <c r="F77" s="2" t="n"/>
      <c r="G77" s="2" t="n"/>
      <c r="H77" s="2" t="n"/>
      <c r="I77" s="2" t="n"/>
      <c r="J7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34" customWidth="1" min="3" max="3"/>
    <col width="60" customWidth="1" min="4" max="4"/>
    <col width="34" customWidth="1" min="5" max="5"/>
    <col width="30" customWidth="1" min="6" max="6"/>
    <col width="12" customWidth="1" min="7" max="7"/>
    <col width="30" customWidth="1" min="8" max="8"/>
  </cols>
  <sheetData>
    <row r="1">
      <c r="A1" s="4" t="inlineStr">
        <is>
          <t>ID</t>
        </is>
      </c>
      <c r="B1" s="4" t="inlineStr">
        <is>
          <t>Type</t>
        </is>
      </c>
      <c r="C1" s="4" t="inlineStr">
        <is>
          <t>Name</t>
        </is>
      </c>
      <c r="D1" s="4" t="inlineStr">
        <is>
          <t>URL(s)</t>
        </is>
      </c>
      <c r="E1" s="4" t="inlineStr">
        <is>
          <t>Licence</t>
        </is>
      </c>
      <c r="F1" s="4" t="inlineStr">
        <is>
          <t>Scope</t>
        </is>
      </c>
      <c r="G1" s="4" t="inlineStr">
        <is>
          <t>Fetched on</t>
        </is>
      </c>
      <c r="H1" s="4" t="inlineStr">
        <is>
          <t>SHA-256 (files)</t>
        </is>
      </c>
    </row>
    <row r="2">
      <c r="A2" s="2" t="inlineStr">
        <is>
          <t>W1</t>
        </is>
      </c>
      <c r="B2" s="2" t="inlineStr">
        <is>
          <t>Website</t>
        </is>
      </c>
      <c r="C2" s="2" t="inlineStr">
        <is>
          <t>Python tutorial</t>
        </is>
      </c>
      <c r="D2" s="2" t="inlineStr">
        <is>
          <t>https://docs.python.org/3/tutorial/</t>
        </is>
      </c>
      <c r="E2" s="2" t="inlineStr">
        <is>
          <t>PSF documentation licence (PSF License Agreement)</t>
        </is>
      </c>
      <c r="F2" s="2" t="inlineStr">
        <is>
          <t>Crawl from https://docs.python.org/3/tutorial/, depth 1, at most 20 pages</t>
        </is>
      </c>
      <c r="G2" s="2" t="inlineStr">
        <is>
          <t>2026-10-09</t>
        </is>
      </c>
      <c r="H2" s="2" t="inlineStr"/>
    </row>
    <row r="3">
      <c r="A3" s="2" t="inlineStr">
        <is>
          <t>W2</t>
        </is>
      </c>
      <c r="B3" s="2" t="inlineStr">
        <is>
          <t>Website</t>
        </is>
      </c>
      <c r="C3" s="2" t="inlineStr">
        <is>
          <t>Wikipedia articles</t>
        </is>
      </c>
      <c r="D3" s="2" t="inlineStr">
        <is>
          <t>https://en.wikipedia.org/wiki/Solar_System
https://en.wikipedia.org/wiki/Moon
https://en.wikipedia.org/wiki/Mount_Everest
https://en.wikipedia.org/wiki/Great_Barrier_Reef
https://en.wikipedia.org/wiki/Amazon_River
https://en.wikipedia.org/wiki/Photosynthesis
https://en.wikipedia.org/wiki/Periodic_table
https://en.wikipedia.org/wiki/Olympic_Games
https://en.wikipedia.org/wiki/Euro
https://en.wikipedia.org/wiki/Python_(programming_language)</t>
        </is>
      </c>
      <c r="E3" s="2" t="inlineStr">
        <is>
          <t>CC BY-SA 4.0</t>
        </is>
      </c>
      <c r="F3" s="2" t="inlineStr">
        <is>
          <t>10 listed URLs</t>
        </is>
      </c>
      <c r="G3" s="2" t="inlineStr">
        <is>
          <t>2026-10-09</t>
        </is>
      </c>
      <c r="H3" s="2" t="inlineStr"/>
    </row>
    <row r="4">
      <c r="A4" s="2" t="inlineStr">
        <is>
          <t>W3</t>
        </is>
      </c>
      <c r="B4" s="2" t="inlineStr">
        <is>
          <t>Website</t>
        </is>
      </c>
      <c r="C4" s="2" t="inlineStr">
        <is>
          <t>GOV.UK guidance</t>
        </is>
      </c>
      <c r="D4" s="2" t="inlineStr">
        <is>
          <t>https://www.gov.uk/national-minimum-wage-rates
https://www.gov.uk/holiday-entitlement-rights
https://www.gov.uk/maternity-pay-leave
https://www.gov.uk/statutory-sick-pay
https://www.gov.uk/redundancy-your-rights
https://www.gov.uk/flexible-working
https://www.gov.uk/calculate-your-redundancy-pay
https://www.gov.uk/council-tax-bands
https://www.gov.uk/vehicle-tax-rate-tables
https://www.gov.uk/income-tax-rates</t>
        </is>
      </c>
      <c r="E4" s="2" t="inlineStr">
        <is>
          <t>Open Government Licence v3.0</t>
        </is>
      </c>
      <c r="F4" s="2" t="inlineStr">
        <is>
          <t>10 listed URLs</t>
        </is>
      </c>
      <c r="G4" s="2" t="inlineStr">
        <is>
          <t>2026-10-09</t>
        </is>
      </c>
      <c r="H4" s="2" t="inlineStr"/>
    </row>
    <row r="5">
      <c r="A5" s="2" t="inlineStr">
        <is>
          <t>W4</t>
        </is>
      </c>
      <c r="B5" s="2" t="inlineStr">
        <is>
          <t>Website</t>
        </is>
      </c>
      <c r="C5" s="2" t="inlineStr">
        <is>
          <t>MDN Web Docs</t>
        </is>
      </c>
      <c r="D5" s="2" t="inlineStr">
        <is>
          <t>https://developer.mozilla.org/en-US/docs/Web/HTTP/Reference/Status
https://developer.mozilla.org/en-US/docs/Web/HTTP/Reference/Methods
https://developer.mozilla.org/en-US/docs/Web/HTTP/Reference/Headers/Cache-Control
https://developer.mozilla.org/en-US/docs/Web/JavaScript/Reference/Global_Objects/Array
https://developer.mozilla.org/en-US/docs/Web/JavaScript/Guide/Closures
https://developer.mozilla.org/en-US/docs/Web/CSS/Reference/Properties/display
https://developer.mozilla.org/en-US/docs/Web/API/Fetch_API
https://developer.mozilla.org/en-US/docs/Web/HTML/Reference/Elements/table
https://developer.mozilla.org/en-US/docs/Web/CSS/Guides/Grid_layout
https://developer.mozilla.org/en-US/docs/Web/HTTP/Guides/CORS</t>
        </is>
      </c>
      <c r="E5" s="2" t="inlineStr">
        <is>
          <t>CC BY-SA 2.5</t>
        </is>
      </c>
      <c r="F5" s="2" t="inlineStr">
        <is>
          <t>10 listed URLs</t>
        </is>
      </c>
      <c r="G5" s="2" t="inlineStr">
        <is>
          <t>2026-10-09</t>
        </is>
      </c>
      <c r="H5" s="2" t="inlineStr"/>
    </row>
    <row r="6">
      <c r="A6" s="2" t="inlineStr">
        <is>
          <t>F1</t>
        </is>
      </c>
      <c r="B6" s="2" t="inlineStr">
        <is>
          <t>File (PDF)</t>
        </is>
      </c>
      <c r="C6" s="2" t="inlineStr">
        <is>
          <t>BERT (NAACL 2019), two-column paper</t>
        </is>
      </c>
      <c r="D6" s="2" t="inlineStr">
        <is>
          <t>https://aclanthology.org/N19-1423.pdf</t>
        </is>
      </c>
      <c r="E6" s="2" t="inlineStr">
        <is>
          <t>CC BY 4.0 (ACL Anthology, papers from 2016 onward)</t>
        </is>
      </c>
      <c r="F6" s="2" t="inlineStr">
        <is>
          <t>16 pages</t>
        </is>
      </c>
      <c r="G6" s="2" t="inlineStr">
        <is>
          <t>2026-10-09</t>
        </is>
      </c>
      <c r="H6" s="2" t="inlineStr">
        <is>
          <t>987545ffb087f1ece898142c403a516baeabeb70ce19089397fac6f7db12c3d4</t>
        </is>
      </c>
    </row>
    <row r="7">
      <c r="A7" s="2" t="inlineStr">
        <is>
          <t>F2</t>
        </is>
      </c>
      <c r="B7" s="2" t="inlineStr">
        <is>
          <t>File (PDF)</t>
        </is>
      </c>
      <c r="C7" s="2" t="inlineStr">
        <is>
          <t>US Census Bureau P60-279, Income in the United States: 2022</t>
        </is>
      </c>
      <c r="D7" s="2" t="inlineStr">
        <is>
          <t>https://www.census.gov/content/dam/Census/library/publications/2023/demo/p60-279.pdf</t>
        </is>
      </c>
      <c r="E7" s="2" t="inlineStr">
        <is>
          <t>Public domain (US federal government work)</t>
        </is>
      </c>
      <c r="F7" s="2" t="inlineStr">
        <is>
          <t>62 pages</t>
        </is>
      </c>
      <c r="G7" s="2" t="inlineStr">
        <is>
          <t>2026-10-09</t>
        </is>
      </c>
      <c r="H7" s="2" t="inlineStr">
        <is>
          <t>ce921ae1c54b000b3c1defbe52762a5358b9b597a6cd01aee5b84671fab598c5</t>
        </is>
      </c>
    </row>
    <row r="8">
      <c r="A8" s="2" t="inlineStr">
        <is>
          <t>F3</t>
        </is>
      </c>
      <c r="B8" s="2" t="inlineStr">
        <is>
          <t>File (PDF)</t>
        </is>
      </c>
      <c r="C8" s="2" t="inlineStr">
        <is>
          <t>Surveyor VI mission report, JPL TR 32-1262 Part III, scanned pages 7-16</t>
        </is>
      </c>
      <c r="D8" s="2" t="inlineStr">
        <is>
          <t>https://sic.lpl.arizona.edu/sites/sic.lpl.arizona.edu/files/surveyor/Surveyor_VI_NASA-TechnicalReport32-1262_Part-3.pdf</t>
        </is>
      </c>
      <c r="E8" s="2" t="inlineStr">
        <is>
          <t>NASA/JPL technical report, US government work; 10-page extract made locally without altering the scan images</t>
        </is>
      </c>
      <c r="F8" s="2" t="inlineStr">
        <is>
          <t>10 pages</t>
        </is>
      </c>
      <c r="G8" s="2" t="inlineStr">
        <is>
          <t>2026-10-09</t>
        </is>
      </c>
      <c r="H8" s="2" t="inlineStr">
        <is>
          <t>e6b37144235757381364229a5c937246ec68727704564651401fba417a5da745</t>
        </is>
      </c>
    </row>
    <row r="9">
      <c r="A9" s="2" t="inlineStr">
        <is>
          <t>F4</t>
        </is>
      </c>
      <c r="B9" s="2" t="inlineStr">
        <is>
          <t>File (PDF)</t>
        </is>
      </c>
      <c r="C9" s="2" t="inlineStr">
        <is>
          <t>Eurostat, Chiffres clés sur l'Europe, édition 2019 (French)</t>
        </is>
      </c>
      <c r="D9" s="2" t="inlineStr">
        <is>
          <t>https://ec.europa.eu/eurostat/documents/3217494/10164473/KS-EI-19-001-FR_N.pdf/aef66e0b-f5fe-c4e1-67ac-3c3f01a44384</t>
        </is>
      </c>
      <c r="E9" s="2" t="inlineStr">
        <is>
          <t>© European Union, 2019; reuse authorised with attribution (Commission Decision 2011/833/EU)</t>
        </is>
      </c>
      <c r="F9" s="2" t="inlineStr">
        <is>
          <t>76 pages</t>
        </is>
      </c>
      <c r="G9" s="2" t="inlineStr">
        <is>
          <t>2026-10-10</t>
        </is>
      </c>
      <c r="H9" s="2" t="inlineStr">
        <is>
          <t>9457b14c2fb44527eeb718ba7753bc5781d771db2b88447a723a42c65b5776af</t>
        </is>
      </c>
    </row>
    <row r="10">
      <c r="A10" s="2" t="inlineStr">
        <is>
          <t>F5</t>
        </is>
      </c>
      <c r="B10" s="2" t="inlineStr">
        <is>
          <t>File (PDF)</t>
        </is>
      </c>
      <c r="C10" s="2" t="inlineStr">
        <is>
          <t>USGS Circular 115, Estimated use of water in the United States, 1950 (1951 scan), image-only copy</t>
        </is>
      </c>
      <c r="D10" s="2" t="inlineStr">
        <is>
          <t>https://pubs.usgs.gov/circ/1951/0115/report.pdf</t>
        </is>
      </c>
      <c r="E10" s="2" t="inlineStr">
        <is>
          <t>Public domain (US federal government work)</t>
        </is>
      </c>
      <c r="F10" s="2" t="inlineStr">
        <is>
          <t>16 pages</t>
        </is>
      </c>
      <c r="G10" s="2" t="inlineStr">
        <is>
          <t>2026-10-10</t>
        </is>
      </c>
      <c r="H10" s="2" t="inlineStr">
        <is>
          <t>7c1d9fe14a6c7d7d065bfc3d018ef32fefc692ce36524dace01fd0908a181c23</t>
        </is>
      </c>
    </row>
    <row r="11">
      <c r="A11" s="2" t="inlineStr">
        <is>
          <t>F6</t>
        </is>
      </c>
      <c r="B11" s="2" t="inlineStr">
        <is>
          <t>File (DOCX)</t>
        </is>
      </c>
      <c r="C11" s="2" t="inlineStr">
        <is>
          <t>DfT, Local highways maintenance transparency report template (DOCX)</t>
        </is>
      </c>
      <c r="D11" s="2" t="inlineStr">
        <is>
          <t>https://assets.publishing.service.gov.uk/media/6a26d314f56856fd11c0b191/highways-maintenance-reports-template.docx</t>
        </is>
      </c>
      <c r="E11" s="2" t="inlineStr">
        <is>
          <t>Open Government Licence v3.0</t>
        </is>
      </c>
      <c r="F11" s="2" t="inlineStr"/>
      <c r="G11" s="2" t="inlineStr">
        <is>
          <t>2026-10-10</t>
        </is>
      </c>
      <c r="H11" s="2" t="inlineStr">
        <is>
          <t>eb468aeba7ed8ff0bac3382ddeaa8e56dc859bc9dc3d988d4389a1fe508dfc02</t>
        </is>
      </c>
    </row>
    <row r="12">
      <c r="A12" s="2" t="inlineStr">
        <is>
          <t>F7</t>
        </is>
      </c>
      <c r="B12" s="2" t="inlineStr">
        <is>
          <t>File (PPTX)</t>
        </is>
      </c>
      <c r="C12" s="2" t="inlineStr">
        <is>
          <t>Home Office/DfE, Designing and building a Prevent risk assessment (PPTX, 14 slides, 3 tables)</t>
        </is>
      </c>
      <c r="D12" s="2" t="inlineStr">
        <is>
          <t>https://assets.publishing.service.gov.uk/media/60a3d4a7d3bf7f28855b8ffd/Designing_and_building_a_Prevent_risk_assessment.pptx</t>
        </is>
      </c>
      <c r="E12" s="2" t="inlineStr">
        <is>
          <t>Open Government Licence v3.0</t>
        </is>
      </c>
      <c r="F12" s="2" t="inlineStr">
        <is>
          <t>14 pages</t>
        </is>
      </c>
      <c r="G12" s="2" t="inlineStr">
        <is>
          <t>2026-10-10</t>
        </is>
      </c>
      <c r="H12" s="2" t="inlineStr">
        <is>
          <t>71e2e0fe0eacbb94867329cae876e1f119e8d2e7f76145cf289d12cb7873484f</t>
        </is>
      </c>
    </row>
    <row r="13">
      <c r="A13" s="2" t="inlineStr">
        <is>
          <t>G1</t>
        </is>
      </c>
      <c r="B13" s="2" t="inlineStr">
        <is>
          <t>File (PDF)</t>
        </is>
      </c>
      <c r="C13" s="2" t="inlineStr">
        <is>
          <t>IRS Form W-4 (2026), Employee's Withholding Certificate (form with worksheets and tables)</t>
        </is>
      </c>
      <c r="D13" s="2" t="inlineStr">
        <is>
          <t>https://www.irs.gov/pub/irs-pdf/fw4.pdf</t>
        </is>
      </c>
      <c r="E13" s="2" t="inlineStr">
        <is>
          <t>Public domain (US federal government work)</t>
        </is>
      </c>
      <c r="F13" s="2" t="inlineStr">
        <is>
          <t>5 pages</t>
        </is>
      </c>
      <c r="G13" s="2" t="inlineStr">
        <is>
          <t>2026-10-10</t>
        </is>
      </c>
      <c r="H13" s="2" t="inlineStr">
        <is>
          <t>92444d8856ce55d9e25dca8b6d1420634fc68b11e1ab1f760916ea29ddd312b2</t>
        </is>
      </c>
    </row>
    <row r="14">
      <c r="A14" s="2" t="inlineStr">
        <is>
          <t>G2</t>
        </is>
      </c>
      <c r="B14" s="2" t="inlineStr">
        <is>
          <t>File (PDF)</t>
        </is>
      </c>
      <c r="C14" s="2" t="inlineStr">
        <is>
          <t>NIST SP 800-63B, Digital Identity Guidelines: Authentication and Lifecycle Management (2017, updated 2020; withdrawn 2025 and kept for history)</t>
        </is>
      </c>
      <c r="D14" s="2" t="inlineStr">
        <is>
          <t>https://nvlpubs.nist.gov/nistpubs/SpecialPublications/NIST.SP.800-63b.pdf</t>
        </is>
      </c>
      <c r="E14" s="2" t="inlineStr">
        <is>
          <t>Public domain (US federal government work)</t>
        </is>
      </c>
      <c r="F14" s="2" t="inlineStr">
        <is>
          <t>80 pages</t>
        </is>
      </c>
      <c r="G14" s="2" t="inlineStr">
        <is>
          <t>2026-10-10</t>
        </is>
      </c>
      <c r="H14" s="2" t="inlineStr">
        <is>
          <t>ccfce7510a1267933f912d023306c6e7d485f21be63d271108b61aad6139127e</t>
        </is>
      </c>
    </row>
    <row r="15">
      <c r="A15" s="2" t="inlineStr">
        <is>
          <t>G3</t>
        </is>
      </c>
      <c r="B15" s="2" t="inlineStr">
        <is>
          <t>File (PDF)</t>
        </is>
      </c>
      <c r="C15" s="2" t="inlineStr">
        <is>
          <t>GAO-23-900494, Fiscal Year 2024 Budget Request (testimony with charts and tables)</t>
        </is>
      </c>
      <c r="D15" s="2" t="inlineStr">
        <is>
          <t>https://www.gao.gov/assets/gao-23-900494.pdf</t>
        </is>
      </c>
      <c r="E15" s="2" t="inlineStr">
        <is>
          <t>Public domain (US federal government work; GAO notes third-party images may be copyrighted)</t>
        </is>
      </c>
      <c r="F15" s="2" t="inlineStr">
        <is>
          <t>20 pages</t>
        </is>
      </c>
      <c r="G15" s="2" t="inlineStr">
        <is>
          <t>2026-10-10</t>
        </is>
      </c>
      <c r="H15" s="2" t="inlineStr">
        <is>
          <t>7ae5716dd9fb8792c59eb1c4d623d33c13f505b914229b62b0932c151f6f8f88</t>
        </is>
      </c>
    </row>
    <row r="16">
      <c r="A16" s="2" t="inlineStr">
        <is>
          <t>G4</t>
        </is>
      </c>
      <c r="B16" s="2" t="inlineStr">
        <is>
          <t>File (PDF)</t>
        </is>
      </c>
      <c r="C16" s="2" t="inlineStr">
        <is>
          <t>Executive Order 9066 (1942), first page, typed scan, image-only copy</t>
        </is>
      </c>
      <c r="D16" s="2" t="inlineStr">
        <is>
          <t>https://www.archives.gov/files/milestone-documents/images/doc-074-big.jpg</t>
        </is>
      </c>
      <c r="E16" s="2" t="inlineStr">
        <is>
          <t>Public domain (US federal government record, National Archives)</t>
        </is>
      </c>
      <c r="F16" s="2" t="inlineStr">
        <is>
          <t>1 pages</t>
        </is>
      </c>
      <c r="G16" s="2" t="inlineStr">
        <is>
          <t>2026-10-10</t>
        </is>
      </c>
      <c r="H16" s="2" t="inlineStr">
        <is>
          <t>2c7e202d431a762814ccdde34ff7c04b1d1a154d6bb1e02f2ad67a1a687f9096</t>
        </is>
      </c>
    </row>
    <row r="17">
      <c r="A17" s="2" t="inlineStr">
        <is>
          <t>G5</t>
        </is>
      </c>
      <c r="B17" s="2" t="inlineStr">
        <is>
          <t>File (XLSX)</t>
        </is>
      </c>
      <c r="C17" s="2" t="inlineStr">
        <is>
          <t>NISRA, Labour Force Survey quarterly tables, October to December 2023 (XLSX, 27 sheets)</t>
        </is>
      </c>
      <c r="D17" s="2" t="inlineStr">
        <is>
          <t>https://www.nisra.gov.uk/system/files/statistics/lmr-labour-force-survey-quarterly-tables-october-december-2023.xlsx</t>
        </is>
      </c>
      <c r="E17" s="2" t="inlineStr">
        <is>
          <t>Open Government Licence v3.0 (NISRA)</t>
        </is>
      </c>
      <c r="F17" s="2" t="inlineStr"/>
      <c r="G17" s="2" t="inlineStr">
        <is>
          <t>2026-10-10</t>
        </is>
      </c>
      <c r="H17" s="2" t="inlineStr">
        <is>
          <t>29a67242b51a9efcd349da8d7d03bf05d3ca479b462374954db44d4e55b907de</t>
        </is>
      </c>
    </row>
    <row r="18">
      <c r="A18" s="2" t="inlineStr">
        <is>
          <t>G6</t>
        </is>
      </c>
      <c r="B18" s="2" t="inlineStr">
        <is>
          <t>File (PPTX)</t>
        </is>
      </c>
      <c r="C18" s="2" t="inlineStr">
        <is>
          <t>ECGD, organisation chart and pay data, September 2012 (PPTX, 3 slides)</t>
        </is>
      </c>
      <c r="D18" s="2" t="inlineStr">
        <is>
          <t>https://www.gov.uk/government/uploads/system/uploads/attachment_data/file/190924/ecgd-structure-chart-september-2012.pptx</t>
        </is>
      </c>
      <c r="E18" s="2" t="inlineStr">
        <is>
          <t>Open Government Licence (data.gov.uk record)</t>
        </is>
      </c>
      <c r="F18" s="2" t="inlineStr">
        <is>
          <t>3 pages</t>
        </is>
      </c>
      <c r="G18" s="2" t="inlineStr">
        <is>
          <t>2026-10-10</t>
        </is>
      </c>
      <c r="H18" s="2" t="inlineStr">
        <is>
          <t>1f1192e07415540cdd422d8cb1c0e4fd851af43cb5c63341e867cb7188dda596</t>
        </is>
      </c>
    </row>
    <row r="19">
      <c r="A19" s="2" t="inlineStr">
        <is>
          <t>G7</t>
        </is>
      </c>
      <c r="B19" s="2" t="inlineStr">
        <is>
          <t>File (DOCX)</t>
        </is>
      </c>
      <c r="C19" s="2" t="inlineStr">
        <is>
          <t>DfE, Information sharing agreement template for childminder agencies and local authorities (DOCX)</t>
        </is>
      </c>
      <c r="D19" s="2" t="inlineStr">
        <is>
          <t>https://assets.publishing.service.gov.uk/media/69a988838fd807b03bbe92d0/Information_sharing_agreement_template_for_childminder_agencies_and_local_authorities.docx</t>
        </is>
      </c>
      <c r="E19" s="2" t="inlineStr">
        <is>
          <t>Open Government Licence v3.0</t>
        </is>
      </c>
      <c r="F19" s="2" t="inlineStr"/>
      <c r="G19" s="2" t="inlineStr">
        <is>
          <t>2026-10-10</t>
        </is>
      </c>
      <c r="H19" s="2" t="inlineStr">
        <is>
          <t>6bc63fd49da37883f35c007ab6ad9a5fdf6b5daf3bd0b0155b35e1c3d04b0a65</t>
        </is>
      </c>
    </row>
    <row r="20">
      <c r="A20" s="2" t="inlineStr">
        <is>
          <t>G8</t>
        </is>
      </c>
      <c r="B20" s="2" t="inlineStr">
        <is>
          <t>File (PDF)</t>
        </is>
      </c>
      <c r="C20" s="2" t="inlineStr">
        <is>
          <t>Pan et al. (2023), Sex difference in driving speed management, PLOS ONE 18(7): e0288653</t>
        </is>
      </c>
      <c r="D20" s="2" t="inlineStr">
        <is>
          <t>https://journals.plos.org/plosone/article/file?id=10.1371/journal.pone.0288653&amp;type=printable</t>
        </is>
      </c>
      <c r="E20" s="2" t="inlineStr">
        <is>
          <t>CC BY 4.0</t>
        </is>
      </c>
      <c r="F20" s="2" t="inlineStr">
        <is>
          <t>14 pages</t>
        </is>
      </c>
      <c r="G20" s="2" t="inlineStr">
        <is>
          <t>2026-10-10</t>
        </is>
      </c>
      <c r="H20" s="2" t="inlineStr">
        <is>
          <t>0fe1665514be2c545374fd80ffac056d85dca33076960650515d52f68c4df886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30" customWidth="1" min="3" max="3"/>
    <col width="14" customWidth="1" min="4" max="4"/>
    <col width="7" customWidth="1" min="5" max="5"/>
    <col width="8" customWidth="1" min="6" max="6"/>
    <col width="9" customWidth="1" min="7" max="7"/>
    <col width="13" customWidth="1" min="8" max="8"/>
    <col width="24" customWidth="1" min="9" max="9"/>
    <col width="14" customWidth="1" min="10" max="10"/>
    <col width="16" customWidth="1" min="11" max="11"/>
    <col width="10" customWidth="1" min="12" max="12"/>
    <col width="40" customWidth="1" min="13" max="13"/>
    <col width="8" customWidth="1" min="14" max="14"/>
    <col width="8" customWidth="1" min="15" max="15"/>
    <col width="8" customWidth="1" min="16" max="16"/>
    <col width="8" customWidth="1" min="17" max="17"/>
    <col width="9" customWidth="1" min="18" max="18"/>
    <col width="12" customWidth="1" min="19" max="19"/>
    <col width="12" customWidth="1" min="20" max="20"/>
    <col width="12" customWidth="1" min="21" max="21"/>
  </cols>
  <sheetData>
    <row r="1">
      <c r="A1" s="4" t="inlineStr">
        <is>
          <t>Round</t>
        </is>
      </c>
      <c r="B1" s="4" t="inlineStr">
        <is>
          <t>Track</t>
        </is>
      </c>
      <c r="C1" s="4" t="inlineStr">
        <is>
          <t>What changed</t>
        </is>
      </c>
      <c r="D1" s="4" t="inlineStr">
        <is>
          <t>Extractor</t>
        </is>
      </c>
      <c r="E1" s="4" t="inlineStr">
        <is>
          <t>OCR</t>
        </is>
      </c>
      <c r="F1" s="4" t="inlineStr">
        <is>
          <t>OCR DPI</t>
        </is>
      </c>
      <c r="G1" s="4" t="inlineStr">
        <is>
          <t>Max OCR pages</t>
        </is>
      </c>
      <c r="H1" s="4" t="inlineStr">
        <is>
          <t>Table evidence</t>
        </is>
      </c>
      <c r="I1" s="4" t="inlineStr">
        <is>
          <t>If a file can't be read well</t>
        </is>
      </c>
      <c r="J1" s="4" t="inlineStr">
        <is>
          <t>Chunk target / max / overlap</t>
        </is>
      </c>
      <c r="K1" s="4" t="inlineStr">
        <is>
          <t>Website pages</t>
        </is>
      </c>
      <c r="L1" s="4" t="inlineStr">
        <is>
          <t>Status</t>
        </is>
      </c>
      <c r="M1" s="4" t="inlineStr">
        <is>
          <t>Error</t>
        </is>
      </c>
      <c r="N1" s="4" t="inlineStr">
        <is>
          <t>Items ready</t>
        </is>
      </c>
      <c r="O1" s="4" t="inlineStr">
        <is>
          <t>Items failed</t>
        </is>
      </c>
      <c r="P1" s="4" t="inlineStr">
        <is>
          <t>Items excluded</t>
        </is>
      </c>
      <c r="Q1" s="4" t="inlineStr">
        <is>
          <t>Chunks</t>
        </is>
      </c>
      <c r="R1" s="4" t="inlineStr">
        <is>
          <t>Duration (s)</t>
        </is>
      </c>
      <c r="S1" s="4" t="inlineStr">
        <is>
          <t>Embedding cost est. (USD)</t>
        </is>
      </c>
      <c r="T1" s="4" t="inlineStr">
        <is>
          <t>Embedding tokens (app-reported)</t>
        </is>
      </c>
      <c r="U1" s="4" t="inlineStr">
        <is>
          <t>Embedding cost (app-reported, USD)</t>
        </is>
      </c>
    </row>
    <row r="2">
      <c r="A2" s="2" t="inlineStr">
        <is>
          <t>R1</t>
        </is>
      </c>
      <c r="B2" s="2" t="inlineStr">
        <is>
          <t>files</t>
        </is>
      </c>
      <c r="C2" s="2" t="inlineStr">
        <is>
          <t>Recommended settings (v2)</t>
        </is>
      </c>
      <c r="D2" s="2" t="inlineStr">
        <is>
          <t>layout-ocr-v2</t>
        </is>
      </c>
      <c r="E2" s="2" t="inlineStr">
        <is>
          <t>auto</t>
        </is>
      </c>
      <c r="F2" s="2" t="n">
        <v>200</v>
      </c>
      <c r="G2" s="2" t="n">
        <v>50</v>
      </c>
      <c r="H2" s="2" t="inlineStr">
        <is>
          <t>preserve</t>
        </is>
      </c>
      <c r="I2" s="2" t="inlineStr">
        <is>
          <t>Stop and let me review</t>
        </is>
      </c>
      <c r="J2" s="2" t="inlineStr">
        <is>
          <t>600 / 800 / 80</t>
        </is>
      </c>
      <c r="K2" s="2" t="inlineStr">
        <is>
          <t>n/a</t>
        </is>
      </c>
      <c r="L2" s="2" t="inlineStr">
        <is>
          <t>failed</t>
        </is>
      </c>
      <c r="M2" s="2" t="inlineStr">
        <is>
          <t>One or more selected files could not be processed. Inspect run items and retry with a new run.</t>
        </is>
      </c>
      <c r="N2" s="2" t="n">
        <v>0</v>
      </c>
      <c r="O2" s="2" t="n">
        <v>1</v>
      </c>
      <c r="P2" s="2" t="n">
        <v>0</v>
      </c>
      <c r="Q2" s="2" t="n">
        <v>159</v>
      </c>
      <c r="R2" s="2" t="n">
        <v>0</v>
      </c>
      <c r="S2" s="2" t="n"/>
      <c r="T2" s="2" t="inlineStr">
        <is>
          <t>not recorded</t>
        </is>
      </c>
      <c r="U2" s="2" t="inlineStr">
        <is>
          <t>not recorded</t>
        </is>
      </c>
    </row>
    <row r="3">
      <c r="A3" s="2" t="inlineStr">
        <is>
          <t>R1</t>
        </is>
      </c>
      <c r="B3" s="2" t="inlineStr">
        <is>
          <t>web</t>
        </is>
      </c>
      <c r="C3" s="2" t="inlineStr">
        <is>
          <t>Recommended settings (v2)</t>
        </is>
      </c>
      <c r="D3" s="2" t="inlineStr">
        <is>
          <t>n/a (HTML)</t>
        </is>
      </c>
      <c r="E3" s="2" t="inlineStr">
        <is>
          <t>n/a</t>
        </is>
      </c>
      <c r="F3" s="2" t="inlineStr">
        <is>
          <t>n/a</t>
        </is>
      </c>
      <c r="G3" s="2" t="inlineStr">
        <is>
          <t>n/a</t>
        </is>
      </c>
      <c r="H3" s="2" t="inlineStr">
        <is>
          <t>n/a (HTML)</t>
        </is>
      </c>
      <c r="I3" s="2" t="inlineStr">
        <is>
          <t>Stop and let me review</t>
        </is>
      </c>
      <c r="J3" s="2" t="inlineStr">
        <is>
          <t>600 / 800 / 80</t>
        </is>
      </c>
      <c r="K3" s="2" t="inlineStr">
        <is>
          <t>Fetched live</t>
        </is>
      </c>
      <c r="L3" s="2" t="inlineStr">
        <is>
          <t>succeeded</t>
        </is>
      </c>
      <c r="M3" s="2" t="inlineStr"/>
      <c r="N3" s="2" t="n">
        <v>92</v>
      </c>
      <c r="O3" s="2" t="n">
        <v>0</v>
      </c>
      <c r="P3" s="2" t="n">
        <v>0</v>
      </c>
      <c r="Q3" s="2" t="n">
        <v>3209</v>
      </c>
      <c r="R3" s="2" t="n">
        <v>430</v>
      </c>
      <c r="S3" s="2" t="n">
        <v>0.040144</v>
      </c>
      <c r="T3" s="2" t="inlineStr">
        <is>
          <t>not recorded</t>
        </is>
      </c>
      <c r="U3" s="2" t="inlineStr">
        <is>
          <t>not recorded</t>
        </is>
      </c>
    </row>
    <row r="4">
      <c r="A4" s="2" t="inlineStr">
        <is>
          <t>R1w</t>
        </is>
      </c>
      <c r="B4" s="2" t="inlineStr">
        <is>
          <t>files</t>
        </is>
      </c>
      <c r="C4" s="2" t="inlineStr">
        <is>
          <t>Recommended, publish others with warnings</t>
        </is>
      </c>
      <c r="D4" s="2" t="inlineStr">
        <is>
          <t>layout-ocr-v2</t>
        </is>
      </c>
      <c r="E4" s="2" t="inlineStr">
        <is>
          <t>auto</t>
        </is>
      </c>
      <c r="F4" s="2" t="n">
        <v>200</v>
      </c>
      <c r="G4" s="2" t="n">
        <v>50</v>
      </c>
      <c r="H4" s="2" t="inlineStr">
        <is>
          <t>preserve</t>
        </is>
      </c>
      <c r="I4" s="2" t="inlineStr">
        <is>
          <t>Publish the other files and show warnings</t>
        </is>
      </c>
      <c r="J4" s="2" t="inlineStr">
        <is>
          <t>600 / 800 / 80</t>
        </is>
      </c>
      <c r="K4" s="2" t="inlineStr">
        <is>
          <t>n/a</t>
        </is>
      </c>
      <c r="L4" s="2" t="inlineStr">
        <is>
          <t>succeeded</t>
        </is>
      </c>
      <c r="M4" s="2" t="inlineStr"/>
      <c r="N4" s="2" t="n">
        <v>3</v>
      </c>
      <c r="O4" s="2" t="n">
        <v>0</v>
      </c>
      <c r="P4" s="2" t="n">
        <v>0</v>
      </c>
      <c r="Q4" s="2" t="n">
        <v>718</v>
      </c>
      <c r="R4" s="2" t="n">
        <v>94</v>
      </c>
      <c r="S4" s="2" t="n">
        <v>0.009011999999999999</v>
      </c>
      <c r="T4" s="2" t="inlineStr">
        <is>
          <t>not recorded</t>
        </is>
      </c>
      <c r="U4" s="2" t="inlineStr">
        <is>
          <t>not recorded</t>
        </is>
      </c>
    </row>
    <row r="5">
      <c r="A5" s="2" t="inlineStr">
        <is>
          <t>R2</t>
        </is>
      </c>
      <c r="B5" s="2" t="inlineStr">
        <is>
          <t>files</t>
        </is>
      </c>
      <c r="C5" s="2" t="inlineStr">
        <is>
          <t>Extractor layout-ocr-v1</t>
        </is>
      </c>
      <c r="D5" s="2" t="inlineStr">
        <is>
          <t>layout-ocr-v1</t>
        </is>
      </c>
      <c r="E5" s="2" t="inlineStr">
        <is>
          <t>auto</t>
        </is>
      </c>
      <c r="F5" s="2" t="n">
        <v>200</v>
      </c>
      <c r="G5" s="2" t="n">
        <v>50</v>
      </c>
      <c r="H5" s="2" t="inlineStr">
        <is>
          <t>preserve</t>
        </is>
      </c>
      <c r="I5" s="2" t="inlineStr">
        <is>
          <t>Publish the other files and show warnings</t>
        </is>
      </c>
      <c r="J5" s="2" t="inlineStr">
        <is>
          <t>600 / 800 / 80</t>
        </is>
      </c>
      <c r="K5" s="2" t="inlineStr">
        <is>
          <t>n/a</t>
        </is>
      </c>
      <c r="L5" s="2" t="inlineStr">
        <is>
          <t>succeeded</t>
        </is>
      </c>
      <c r="M5" s="2" t="inlineStr"/>
      <c r="N5" s="2" t="n">
        <v>3</v>
      </c>
      <c r="O5" s="2" t="n">
        <v>0</v>
      </c>
      <c r="P5" s="2" t="n">
        <v>0</v>
      </c>
      <c r="Q5" s="2" t="n">
        <v>758</v>
      </c>
      <c r="R5" s="2" t="n">
        <v>90</v>
      </c>
      <c r="S5" s="2" t="n">
        <v>0.006846</v>
      </c>
      <c r="T5" s="2" t="inlineStr">
        <is>
          <t>not recorded</t>
        </is>
      </c>
      <c r="U5" s="2" t="inlineStr">
        <is>
          <t>not recorded</t>
        </is>
      </c>
    </row>
    <row r="6">
      <c r="A6" s="2" t="inlineStr">
        <is>
          <t>R3a</t>
        </is>
      </c>
      <c r="B6" s="2" t="inlineStr">
        <is>
          <t>files</t>
        </is>
      </c>
      <c r="C6" s="2" t="inlineStr">
        <is>
          <t>OCR 300 DPI, 100 pages</t>
        </is>
      </c>
      <c r="D6" s="2" t="inlineStr">
        <is>
          <t>layout-ocr-v2</t>
        </is>
      </c>
      <c r="E6" s="2" t="inlineStr">
        <is>
          <t>auto</t>
        </is>
      </c>
      <c r="F6" s="2" t="n">
        <v>300</v>
      </c>
      <c r="G6" s="2" t="n">
        <v>100</v>
      </c>
      <c r="H6" s="2" t="inlineStr">
        <is>
          <t>preserve</t>
        </is>
      </c>
      <c r="I6" s="2" t="inlineStr">
        <is>
          <t>Publish the other files and show warnings</t>
        </is>
      </c>
      <c r="J6" s="2" t="inlineStr">
        <is>
          <t>600 / 800 / 80</t>
        </is>
      </c>
      <c r="K6" s="2" t="inlineStr">
        <is>
          <t>n/a</t>
        </is>
      </c>
      <c r="L6" s="2" t="inlineStr">
        <is>
          <t>succeeded</t>
        </is>
      </c>
      <c r="M6" s="2" t="inlineStr"/>
      <c r="N6" s="2" t="n">
        <v>3</v>
      </c>
      <c r="O6" s="2" t="n">
        <v>0</v>
      </c>
      <c r="P6" s="2" t="n">
        <v>0</v>
      </c>
      <c r="Q6" s="2" t="n">
        <v>718</v>
      </c>
      <c r="R6" s="2" t="n">
        <v>42</v>
      </c>
      <c r="S6" s="2" t="n">
        <v>0.009011999999999999</v>
      </c>
      <c r="T6" s="2" t="inlineStr">
        <is>
          <t>not recorded</t>
        </is>
      </c>
      <c r="U6" s="2" t="inlineStr">
        <is>
          <t>not recorded</t>
        </is>
      </c>
    </row>
    <row r="7">
      <c r="A7" s="2" t="inlineStr">
        <is>
          <t>R3b</t>
        </is>
      </c>
      <c r="B7" s="2" t="inlineStr">
        <is>
          <t>files</t>
        </is>
      </c>
      <c r="C7" s="2" t="inlineStr">
        <is>
          <t>OCR off</t>
        </is>
      </c>
      <c r="D7" s="2" t="inlineStr">
        <is>
          <t>layout-ocr-v2</t>
        </is>
      </c>
      <c r="E7" s="2" t="inlineStr">
        <is>
          <t>off</t>
        </is>
      </c>
      <c r="F7" s="2" t="n">
        <v>200</v>
      </c>
      <c r="G7" s="2" t="n">
        <v>50</v>
      </c>
      <c r="H7" s="2" t="inlineStr">
        <is>
          <t>preserve</t>
        </is>
      </c>
      <c r="I7" s="2" t="inlineStr">
        <is>
          <t>Publish the other files and show warnings</t>
        </is>
      </c>
      <c r="J7" s="2" t="inlineStr">
        <is>
          <t>600 / 800 / 80</t>
        </is>
      </c>
      <c r="K7" s="2" t="inlineStr">
        <is>
          <t>n/a</t>
        </is>
      </c>
      <c r="L7" s="2" t="inlineStr">
        <is>
          <t>failed</t>
        </is>
      </c>
      <c r="M7" s="2" t="inlineStr">
        <is>
          <t>One or more selected files could not be processed. Inspect run items and retry with a new run.</t>
        </is>
      </c>
      <c r="N7" s="2" t="n">
        <v>0</v>
      </c>
      <c r="O7" s="2" t="n">
        <v>1</v>
      </c>
      <c r="P7" s="2" t="n">
        <v>0</v>
      </c>
      <c r="Q7" s="2" t="n">
        <v>159</v>
      </c>
      <c r="R7" s="2" t="n">
        <v>0</v>
      </c>
      <c r="S7" s="2" t="n"/>
      <c r="T7" s="2" t="inlineStr">
        <is>
          <t>not recorded</t>
        </is>
      </c>
      <c r="U7" s="2" t="inlineStr">
        <is>
          <t>not recorded</t>
        </is>
      </c>
    </row>
    <row r="8">
      <c r="A8" s="2" t="inlineStr">
        <is>
          <t>R4</t>
        </is>
      </c>
      <c r="B8" s="2" t="inlineStr">
        <is>
          <t>files</t>
        </is>
      </c>
      <c r="C8" s="2" t="inlineStr">
        <is>
          <t>Table evidence plain text</t>
        </is>
      </c>
      <c r="D8" s="2" t="inlineStr">
        <is>
          <t>layout-ocr-v2</t>
        </is>
      </c>
      <c r="E8" s="2" t="inlineStr">
        <is>
          <t>auto</t>
        </is>
      </c>
      <c r="F8" s="2" t="n">
        <v>200</v>
      </c>
      <c r="G8" s="2" t="n">
        <v>50</v>
      </c>
      <c r="H8" s="2" t="inlineStr">
        <is>
          <t>plain_text</t>
        </is>
      </c>
      <c r="I8" s="2" t="inlineStr">
        <is>
          <t>Publish the other files and show warnings</t>
        </is>
      </c>
      <c r="J8" s="2" t="inlineStr">
        <is>
          <t>600 / 800 / 80</t>
        </is>
      </c>
      <c r="K8" s="2" t="inlineStr">
        <is>
          <t>n/a</t>
        </is>
      </c>
      <c r="L8" s="2" t="inlineStr">
        <is>
          <t>succeeded</t>
        </is>
      </c>
      <c r="M8" s="2" t="inlineStr"/>
      <c r="N8" s="2" t="n">
        <v>3</v>
      </c>
      <c r="O8" s="2" t="n">
        <v>0</v>
      </c>
      <c r="P8" s="2" t="n">
        <v>0</v>
      </c>
      <c r="Q8" s="2" t="n">
        <v>684</v>
      </c>
      <c r="R8" s="2" t="n">
        <v>60</v>
      </c>
      <c r="S8" s="2" t="n">
        <v>0.008456</v>
      </c>
      <c r="T8" s="2" t="inlineStr">
        <is>
          <t>not recorded</t>
        </is>
      </c>
      <c r="U8" s="2" t="inlineStr">
        <is>
          <t>not recorded</t>
        </is>
      </c>
    </row>
    <row r="9">
      <c r="A9" s="2" t="inlineStr">
        <is>
          <t>R5</t>
        </is>
      </c>
      <c r="B9" s="2" t="inlineStr">
        <is>
          <t>web</t>
        </is>
      </c>
      <c r="C9" s="2" t="inlineStr">
        <is>
          <t>Publish the other pages and show warnings</t>
        </is>
      </c>
      <c r="D9" s="2" t="inlineStr">
        <is>
          <t>n/a (HTML)</t>
        </is>
      </c>
      <c r="E9" s="2" t="inlineStr">
        <is>
          <t>n/a</t>
        </is>
      </c>
      <c r="F9" s="2" t="inlineStr">
        <is>
          <t>n/a</t>
        </is>
      </c>
      <c r="G9" s="2" t="inlineStr">
        <is>
          <t>n/a</t>
        </is>
      </c>
      <c r="H9" s="2" t="inlineStr">
        <is>
          <t>n/a (HTML)</t>
        </is>
      </c>
      <c r="I9" s="2" t="inlineStr">
        <is>
          <t>Publish the other files and show warnings</t>
        </is>
      </c>
      <c r="J9" s="2" t="inlineStr">
        <is>
          <t>600 / 800 / 80</t>
        </is>
      </c>
      <c r="K9" s="2" t="inlineStr">
        <is>
          <t>Reused R1 snapshot</t>
        </is>
      </c>
      <c r="L9" s="2" t="inlineStr">
        <is>
          <t>succeeded</t>
        </is>
      </c>
      <c r="M9" s="2" t="inlineStr"/>
      <c r="N9" s="2" t="n">
        <v>47</v>
      </c>
      <c r="O9" s="2" t="n">
        <v>0</v>
      </c>
      <c r="P9" s="2" t="n">
        <v>0</v>
      </c>
      <c r="Q9" s="2" t="n">
        <v>3209</v>
      </c>
      <c r="R9" s="2" t="n">
        <v>81</v>
      </c>
      <c r="S9" s="2" t="n">
        <v>0.040144</v>
      </c>
      <c r="T9" s="2" t="inlineStr">
        <is>
          <t>not recorded</t>
        </is>
      </c>
      <c r="U9" s="2" t="inlineStr">
        <is>
          <t>not recorded</t>
        </is>
      </c>
    </row>
    <row r="10">
      <c r="A10" s="2" t="inlineStr">
        <is>
          <t>R6</t>
        </is>
      </c>
      <c r="B10" s="2" t="inlineStr">
        <is>
          <t>files</t>
        </is>
      </c>
      <c r="C10" s="2" t="inlineStr">
        <is>
          <t>Chunks 300/400/40</t>
        </is>
      </c>
      <c r="D10" s="2" t="inlineStr">
        <is>
          <t>layout-ocr-v2</t>
        </is>
      </c>
      <c r="E10" s="2" t="inlineStr">
        <is>
          <t>auto</t>
        </is>
      </c>
      <c r="F10" s="2" t="n">
        <v>200</v>
      </c>
      <c r="G10" s="2" t="n">
        <v>50</v>
      </c>
      <c r="H10" s="2" t="inlineStr">
        <is>
          <t>preserve</t>
        </is>
      </c>
      <c r="I10" s="2" t="inlineStr">
        <is>
          <t>Publish the other files and show warnings</t>
        </is>
      </c>
      <c r="J10" s="2" t="inlineStr">
        <is>
          <t>300 / 400 / 40</t>
        </is>
      </c>
      <c r="K10" s="2" t="inlineStr">
        <is>
          <t>n/a</t>
        </is>
      </c>
      <c r="L10" s="2" t="inlineStr">
        <is>
          <t>succeeded</t>
        </is>
      </c>
      <c r="M10" s="2" t="inlineStr"/>
      <c r="N10" s="2" t="n">
        <v>3</v>
      </c>
      <c r="O10" s="2" t="n">
        <v>0</v>
      </c>
      <c r="P10" s="2" t="n">
        <v>0</v>
      </c>
      <c r="Q10" s="2" t="n">
        <v>1593</v>
      </c>
      <c r="R10" s="2" t="n">
        <v>222</v>
      </c>
      <c r="S10" s="2" t="n">
        <v>0.013111</v>
      </c>
      <c r="T10" s="2" t="inlineStr">
        <is>
          <t>not recorded</t>
        </is>
      </c>
      <c r="U10" s="2" t="inlineStr">
        <is>
          <t>not recorded</t>
        </is>
      </c>
    </row>
    <row r="11">
      <c r="A11" s="2" t="inlineStr">
        <is>
          <t>R6</t>
        </is>
      </c>
      <c r="B11" s="2" t="inlineStr">
        <is>
          <t>web</t>
        </is>
      </c>
      <c r="C11" s="2" t="inlineStr">
        <is>
          <t>Chunks 300/400/40</t>
        </is>
      </c>
      <c r="D11" s="2" t="inlineStr">
        <is>
          <t>n/a (HTML)</t>
        </is>
      </c>
      <c r="E11" s="2" t="inlineStr">
        <is>
          <t>n/a</t>
        </is>
      </c>
      <c r="F11" s="2" t="inlineStr">
        <is>
          <t>n/a</t>
        </is>
      </c>
      <c r="G11" s="2" t="inlineStr">
        <is>
          <t>n/a</t>
        </is>
      </c>
      <c r="H11" s="2" t="inlineStr">
        <is>
          <t>n/a (HTML)</t>
        </is>
      </c>
      <c r="I11" s="2" t="inlineStr">
        <is>
          <t>Stop and let me review</t>
        </is>
      </c>
      <c r="J11" s="2" t="inlineStr">
        <is>
          <t>300 / 400 / 40</t>
        </is>
      </c>
      <c r="K11" s="2" t="inlineStr">
        <is>
          <t>Reused R1 snapshot</t>
        </is>
      </c>
      <c r="L11" s="2" t="inlineStr">
        <is>
          <t>succeeded</t>
        </is>
      </c>
      <c r="M11" s="2" t="inlineStr"/>
      <c r="N11" s="2" t="n">
        <v>47</v>
      </c>
      <c r="O11" s="2" t="n">
        <v>0</v>
      </c>
      <c r="P11" s="2" t="n">
        <v>0</v>
      </c>
      <c r="Q11" s="2" t="n">
        <v>6198</v>
      </c>
      <c r="R11" s="2" t="n">
        <v>688</v>
      </c>
      <c r="S11" s="2" t="n">
        <v>0.043422</v>
      </c>
      <c r="T11" s="2" t="inlineStr">
        <is>
          <t>not recorded</t>
        </is>
      </c>
      <c r="U11" s="2" t="inlineStr">
        <is>
          <t>not recorded</t>
        </is>
      </c>
    </row>
    <row r="12">
      <c r="A12" s="2" t="inlineStr">
        <is>
          <t>A1</t>
        </is>
      </c>
      <c r="B12" s="2" t="inlineStr">
        <is>
          <t>files</t>
        </is>
      </c>
      <c r="C12" s="2" t="inlineStr">
        <is>
          <t>After fixes: recommended (v3)</t>
        </is>
      </c>
      <c r="D12" s="2" t="inlineStr">
        <is>
          <t>layout-ocr-v3</t>
        </is>
      </c>
      <c r="E12" s="2" t="inlineStr">
        <is>
          <t>auto</t>
        </is>
      </c>
      <c r="F12" s="2" t="n">
        <v>200</v>
      </c>
      <c r="G12" s="2" t="n">
        <v>50</v>
      </c>
      <c r="H12" s="2" t="inlineStr">
        <is>
          <t>preserve</t>
        </is>
      </c>
      <c r="I12" s="2" t="inlineStr">
        <is>
          <t>Stop and let me review</t>
        </is>
      </c>
      <c r="J12" s="2" t="inlineStr">
        <is>
          <t>600 / 800 / 80</t>
        </is>
      </c>
      <c r="K12" s="2" t="inlineStr">
        <is>
          <t>n/a</t>
        </is>
      </c>
      <c r="L12" s="2" t="inlineStr">
        <is>
          <t>succeeded</t>
        </is>
      </c>
      <c r="M12" s="2" t="inlineStr"/>
      <c r="N12" s="2" t="n">
        <v>3</v>
      </c>
      <c r="O12" s="2" t="n">
        <v>0</v>
      </c>
      <c r="P12" s="2" t="n">
        <v>0</v>
      </c>
      <c r="Q12" s="2" t="n">
        <v>698</v>
      </c>
      <c r="R12" s="2" t="n">
        <v>14</v>
      </c>
      <c r="S12" s="2" t="n">
        <v>0.008666</v>
      </c>
      <c r="T12" s="2" t="n">
        <v>0</v>
      </c>
      <c r="U12" s="2" t="n">
        <v>0</v>
      </c>
    </row>
    <row r="13">
      <c r="A13" s="2" t="inlineStr">
        <is>
          <t>A1</t>
        </is>
      </c>
      <c r="B13" s="2" t="inlineStr">
        <is>
          <t>web</t>
        </is>
      </c>
      <c r="C13" s="2" t="inlineStr">
        <is>
          <t>After fixes: recommended (v3)</t>
        </is>
      </c>
      <c r="D13" s="2" t="inlineStr">
        <is>
          <t>n/a (HTML)</t>
        </is>
      </c>
      <c r="E13" s="2" t="inlineStr">
        <is>
          <t>n/a</t>
        </is>
      </c>
      <c r="F13" s="2" t="inlineStr">
        <is>
          <t>n/a</t>
        </is>
      </c>
      <c r="G13" s="2" t="inlineStr">
        <is>
          <t>n/a</t>
        </is>
      </c>
      <c r="H13" s="2" t="inlineStr">
        <is>
          <t>n/a (HTML)</t>
        </is>
      </c>
      <c r="I13" s="2" t="inlineStr">
        <is>
          <t>Publish the other files and show warnings</t>
        </is>
      </c>
      <c r="J13" s="2" t="inlineStr">
        <is>
          <t>600 / 800 / 80</t>
        </is>
      </c>
      <c r="K13" s="2" t="inlineStr">
        <is>
          <t>Reused R1 snapshot</t>
        </is>
      </c>
      <c r="L13" s="2" t="inlineStr">
        <is>
          <t>succeeded</t>
        </is>
      </c>
      <c r="M13" s="2" t="inlineStr"/>
      <c r="N13" s="2" t="n">
        <v>47</v>
      </c>
      <c r="O13" s="2" t="n">
        <v>0</v>
      </c>
      <c r="P13" s="2" t="n">
        <v>0</v>
      </c>
      <c r="Q13" s="2" t="n">
        <v>2381</v>
      </c>
      <c r="R13" s="2" t="n">
        <v>237</v>
      </c>
      <c r="S13" s="2" t="n">
        <v>0.028906</v>
      </c>
      <c r="T13" s="2" t="n">
        <v>137559</v>
      </c>
      <c r="U13" s="2" t="n">
        <v>0.00275118</v>
      </c>
    </row>
    <row r="14">
      <c r="A14" s="2" t="inlineStr">
        <is>
          <t>A2</t>
        </is>
      </c>
      <c r="B14" s="2" t="inlineStr">
        <is>
          <t>files</t>
        </is>
      </c>
      <c r="C14" s="2" t="inlineStr">
        <is>
          <t>Extract v4: recommended</t>
        </is>
      </c>
      <c r="D14" s="2" t="inlineStr">
        <is>
          <t>layout-ocr-v4</t>
        </is>
      </c>
      <c r="E14" s="2" t="inlineStr">
        <is>
          <t>auto</t>
        </is>
      </c>
      <c r="F14" s="2" t="n">
        <v>200</v>
      </c>
      <c r="G14" s="2" t="n">
        <v>100</v>
      </c>
      <c r="H14" s="2" t="inlineStr">
        <is>
          <t>preserve</t>
        </is>
      </c>
      <c r="I14" s="2" t="inlineStr">
        <is>
          <t>Stop and let me review</t>
        </is>
      </c>
      <c r="J14" s="2" t="inlineStr">
        <is>
          <t>600 / 800 / 80</t>
        </is>
      </c>
      <c r="K14" s="2" t="inlineStr">
        <is>
          <t>n/a</t>
        </is>
      </c>
      <c r="L14" s="2" t="inlineStr">
        <is>
          <t>succeeded</t>
        </is>
      </c>
      <c r="M14" s="2" t="inlineStr"/>
      <c r="N14" s="2" t="n">
        <v>3</v>
      </c>
      <c r="O14" s="2" t="n">
        <v>0</v>
      </c>
      <c r="P14" s="2" t="n">
        <v>0</v>
      </c>
      <c r="Q14" s="2" t="n">
        <v>637</v>
      </c>
      <c r="R14" s="2" t="n">
        <v>85</v>
      </c>
      <c r="S14" s="2" t="n">
        <v>0.007748</v>
      </c>
      <c r="T14" s="2" t="n">
        <v>57835</v>
      </c>
      <c r="U14" s="2" t="n">
        <v>0.0011567</v>
      </c>
    </row>
    <row r="15">
      <c r="A15" s="2" t="inlineStr">
        <is>
          <t>A2</t>
        </is>
      </c>
      <c r="B15" s="2" t="inlineStr">
        <is>
          <t>new</t>
        </is>
      </c>
      <c r="C15" s="2" t="inlineStr">
        <is>
          <t>Extract v4: recommended</t>
        </is>
      </c>
      <c r="D15" s="2" t="inlineStr">
        <is>
          <t>layout-ocr-v4</t>
        </is>
      </c>
      <c r="E15" s="2" t="inlineStr">
        <is>
          <t>auto</t>
        </is>
      </c>
      <c r="F15" s="2" t="n">
        <v>200</v>
      </c>
      <c r="G15" s="2" t="n">
        <v>100</v>
      </c>
      <c r="H15" s="2" t="inlineStr">
        <is>
          <t>preserve</t>
        </is>
      </c>
      <c r="I15" s="2" t="inlineStr">
        <is>
          <t>Publish the other files and show warnings</t>
        </is>
      </c>
      <c r="J15" s="2" t="inlineStr">
        <is>
          <t>600 / 800 / 80</t>
        </is>
      </c>
      <c r="K15" s="2" t="inlineStr">
        <is>
          <t>n/a</t>
        </is>
      </c>
      <c r="L15" s="2" t="inlineStr">
        <is>
          <t>succeeded</t>
        </is>
      </c>
      <c r="M15" s="2" t="inlineStr"/>
      <c r="N15" s="2" t="n">
        <v>4</v>
      </c>
      <c r="O15" s="2" t="n">
        <v>0</v>
      </c>
      <c r="P15" s="2" t="n">
        <v>0</v>
      </c>
      <c r="Q15" s="2" t="n">
        <v>1030</v>
      </c>
      <c r="R15" s="2" t="n">
        <v>168</v>
      </c>
      <c r="S15" s="2" t="n">
        <v>0.005961</v>
      </c>
      <c r="T15" s="2" t="n">
        <v>94681</v>
      </c>
      <c r="U15" s="2" t="n">
        <v>0.00189362</v>
      </c>
    </row>
    <row r="16">
      <c r="A16" s="2" t="inlineStr">
        <is>
          <t>A3</t>
        </is>
      </c>
      <c r="B16" s="2" t="inlineStr">
        <is>
          <t>d2</t>
        </is>
      </c>
      <c r="C16" s="2" t="inlineStr">
        <is>
          <t>Extract v5: recommended</t>
        </is>
      </c>
      <c r="D16" s="2" t="inlineStr">
        <is>
          <t>layout-ocr-v5</t>
        </is>
      </c>
      <c r="E16" s="2" t="inlineStr">
        <is>
          <t>auto</t>
        </is>
      </c>
      <c r="F16" s="2" t="n">
        <v>200</v>
      </c>
      <c r="G16" s="2" t="n">
        <v>100</v>
      </c>
      <c r="H16" s="2" t="inlineStr">
        <is>
          <t>preserve</t>
        </is>
      </c>
      <c r="I16" s="2" t="inlineStr">
        <is>
          <t>Publish the other files and show warnings</t>
        </is>
      </c>
      <c r="J16" s="2" t="inlineStr">
        <is>
          <t>600 / 800 / 80</t>
        </is>
      </c>
      <c r="K16" s="2" t="inlineStr">
        <is>
          <t>n/a</t>
        </is>
      </c>
      <c r="L16" s="2" t="inlineStr">
        <is>
          <t>succeeded</t>
        </is>
      </c>
      <c r="M16" s="2" t="inlineStr"/>
      <c r="N16" s="2" t="n">
        <v>8</v>
      </c>
      <c r="O16" s="2" t="n">
        <v>0</v>
      </c>
      <c r="P16" s="2" t="n">
        <v>0</v>
      </c>
      <c r="Q16" s="2" t="n">
        <v>844</v>
      </c>
      <c r="R16" s="2" t="n">
        <v>155</v>
      </c>
      <c r="S16" s="2" t="n">
        <v>0.009523</v>
      </c>
      <c r="T16" s="2" t="n">
        <v>110195</v>
      </c>
      <c r="U16" s="2" t="n">
        <v>0.0022039</v>
      </c>
    </row>
    <row r="17">
      <c r="A17" s="2" t="inlineStr">
        <is>
          <t>A3</t>
        </is>
      </c>
      <c r="B17" s="2" t="inlineStr">
        <is>
          <t>files</t>
        </is>
      </c>
      <c r="C17" s="2" t="inlineStr">
        <is>
          <t>Extract v5: recommended</t>
        </is>
      </c>
      <c r="D17" s="2" t="inlineStr">
        <is>
          <t>layout-ocr-v5</t>
        </is>
      </c>
      <c r="E17" s="2" t="inlineStr">
        <is>
          <t>auto</t>
        </is>
      </c>
      <c r="F17" s="2" t="n">
        <v>200</v>
      </c>
      <c r="G17" s="2" t="n">
        <v>100</v>
      </c>
      <c r="H17" s="2" t="inlineStr">
        <is>
          <t>preserve</t>
        </is>
      </c>
      <c r="I17" s="2" t="inlineStr">
        <is>
          <t>Stop and let me review</t>
        </is>
      </c>
      <c r="J17" s="2" t="inlineStr">
        <is>
          <t>600 / 800 / 80</t>
        </is>
      </c>
      <c r="K17" s="2" t="inlineStr">
        <is>
          <t>n/a</t>
        </is>
      </c>
      <c r="L17" s="2" t="inlineStr">
        <is>
          <t>succeeded</t>
        </is>
      </c>
      <c r="M17" s="2" t="inlineStr"/>
      <c r="N17" s="2" t="n">
        <v>3</v>
      </c>
      <c r="O17" s="2" t="n">
        <v>0</v>
      </c>
      <c r="P17" s="2" t="n">
        <v>0</v>
      </c>
      <c r="Q17" s="2" t="n">
        <v>707</v>
      </c>
      <c r="R17" s="2" t="n">
        <v>72</v>
      </c>
      <c r="S17" s="2" t="n">
        <v>0.009332999999999999</v>
      </c>
      <c r="T17" s="2" t="n">
        <v>87675</v>
      </c>
      <c r="U17" s="2" t="n">
        <v>0.0017535</v>
      </c>
    </row>
    <row r="18">
      <c r="A18" s="2" t="inlineStr">
        <is>
          <t>A3</t>
        </is>
      </c>
      <c r="B18" s="2" t="inlineStr">
        <is>
          <t>new</t>
        </is>
      </c>
      <c r="C18" s="2" t="inlineStr">
        <is>
          <t>Extract v5: recommended</t>
        </is>
      </c>
      <c r="D18" s="2" t="inlineStr">
        <is>
          <t>layout-ocr-v5</t>
        </is>
      </c>
      <c r="E18" s="2" t="inlineStr">
        <is>
          <t>auto</t>
        </is>
      </c>
      <c r="F18" s="2" t="n">
        <v>200</v>
      </c>
      <c r="G18" s="2" t="n">
        <v>100</v>
      </c>
      <c r="H18" s="2" t="inlineStr">
        <is>
          <t>preserve</t>
        </is>
      </c>
      <c r="I18" s="2" t="inlineStr">
        <is>
          <t>Stop and let me review</t>
        </is>
      </c>
      <c r="J18" s="2" t="inlineStr">
        <is>
          <t>600 / 800 / 80</t>
        </is>
      </c>
      <c r="K18" s="2" t="inlineStr">
        <is>
          <t>n/a</t>
        </is>
      </c>
      <c r="L18" s="2" t="inlineStr">
        <is>
          <t>succeeded</t>
        </is>
      </c>
      <c r="M18" s="2" t="inlineStr"/>
      <c r="N18" s="2" t="n">
        <v>4</v>
      </c>
      <c r="O18" s="2" t="n">
        <v>0</v>
      </c>
      <c r="P18" s="2" t="n">
        <v>0</v>
      </c>
      <c r="Q18" s="2" t="n">
        <v>1025</v>
      </c>
      <c r="R18" s="2" t="n">
        <v>64</v>
      </c>
      <c r="S18" s="2" t="n">
        <v>0.004786</v>
      </c>
      <c r="T18" s="2" t="n">
        <v>7873</v>
      </c>
      <c r="U18" s="2" t="n">
        <v>0.00015746</v>
      </c>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row>
    <row r="20">
      <c r="A20" s="6" t="inlineStr">
        <is>
          <t>Total embedding estimate (USD)</t>
        </is>
      </c>
      <c r="B20" s="6" t="inlineStr"/>
      <c r="C20" s="6" t="inlineStr"/>
      <c r="D20" s="6" t="inlineStr"/>
      <c r="E20" s="6" t="inlineStr"/>
      <c r="F20" s="6" t="inlineStr"/>
      <c r="G20" s="6" t="inlineStr"/>
      <c r="H20" s="6" t="inlineStr"/>
      <c r="I20" s="6" t="inlineStr"/>
      <c r="J20" s="6" t="inlineStr"/>
      <c r="K20" s="6" t="inlineStr"/>
      <c r="L20" s="6" t="inlineStr"/>
      <c r="M20" s="6" t="inlineStr"/>
      <c r="N20" s="6" t="inlineStr"/>
      <c r="O20" s="6" t="inlineStr"/>
      <c r="P20" s="6" t="inlineStr"/>
      <c r="Q20" s="6" t="inlineStr"/>
      <c r="R20" s="6" t="inlineStr"/>
      <c r="S20" s="6">
        <f>SUM(S2:S18)</f>
        <v/>
      </c>
      <c r="T20" s="6" t="n"/>
      <c r="U20" s="6" t="n"/>
    </row>
    <row r="21">
      <c r="A21" s="3" t="inlineStr">
        <is>
          <t>Estimate basis: indexed UTF-8 bytes x $0.02 per million (OpenRouter list price for openai/text-embedding-3-small, 2026-10-09). Bytes overstate tokens, so this is an upper bound. From A1 (spec 0007) the app records the provider-reported usage; earlier runs show 'not recorded'.</t>
        </is>
      </c>
      <c r="B21" s="7" t="n"/>
      <c r="C21" s="7" t="n"/>
      <c r="D21" s="7" t="n"/>
      <c r="E21" s="7" t="n"/>
      <c r="F21" s="7" t="n"/>
      <c r="G21" s="7" t="n"/>
      <c r="H21" s="7" t="n"/>
      <c r="I21" s="7" t="n"/>
      <c r="J21" s="7" t="n"/>
      <c r="K21" s="7" t="n"/>
      <c r="L21" s="7" t="n"/>
      <c r="M21" s="7" t="n"/>
      <c r="N21" s="7" t="n"/>
      <c r="O21" s="7" t="n"/>
      <c r="P21" s="7" t="n"/>
      <c r="Q21" s="7" t="n"/>
      <c r="R21" s="7" t="n"/>
      <c r="S21" s="7" t="n"/>
      <c r="T21" s="7" t="n"/>
      <c r="U21"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c r="A1" s="4" t="inlineStr">
        <is>
          <t>Round</t>
        </is>
      </c>
      <c r="B1" s="4" t="inlineStr">
        <is>
          <t>Track</t>
        </is>
      </c>
      <c r="C1" s="4" t="inlineStr">
        <is>
          <t>Source</t>
        </is>
      </c>
      <c r="D1" s="4" t="inlineStr">
        <is>
          <t>Run status</t>
        </is>
      </c>
      <c r="E1" s="4" t="inlineStr">
        <is>
          <t>Items</t>
        </is>
      </c>
      <c r="F1" s="4" t="inlineStr">
        <is>
          <t>Items ready</t>
        </is>
      </c>
      <c r="G1" s="4" t="inlineStr">
        <is>
          <t>Items failed</t>
        </is>
      </c>
      <c r="H1" s="4" t="inlineStr">
        <is>
          <t>Items excluded</t>
        </is>
      </c>
      <c r="I1" s="4" t="inlineStr">
        <is>
          <t>Pages or URLs indexed</t>
        </is>
      </c>
      <c r="J1" s="4" t="inlineStr">
        <is>
          <t>Chunks</t>
        </is>
      </c>
      <c r="K1" s="4" t="inlineStr">
        <is>
          <t>Median chunk tokens</t>
        </is>
      </c>
      <c r="L1" s="4" t="inlineStr">
        <is>
          <t>Max chunk tokens</t>
        </is>
      </c>
      <c r="M1" s="4" t="inlineStr">
        <is>
          <t>Chunks with section path (%)</t>
        </is>
      </c>
      <c r="N1" s="4" t="inlineStr">
        <is>
          <t>Table chunks (pipe rows)</t>
        </is>
      </c>
      <c r="O1" s="4" t="inlineStr">
        <is>
          <t>Table chunks with header</t>
        </is>
      </c>
      <c r="P1" s="4" t="inlineStr">
        <is>
          <t>Short single-line chunks</t>
        </is>
      </c>
    </row>
    <row r="2">
      <c r="A2" s="2" t="inlineStr">
        <is>
          <t>R1</t>
        </is>
      </c>
      <c r="B2" s="2" t="inlineStr">
        <is>
          <t>files</t>
        </is>
      </c>
      <c r="C2" s="2" t="inlineStr">
        <is>
          <t>F1</t>
        </is>
      </c>
      <c r="D2" s="2" t="inlineStr">
        <is>
          <t>failed</t>
        </is>
      </c>
      <c r="E2" s="2" t="n">
        <v>1</v>
      </c>
      <c r="F2" s="2" t="n">
        <v>0</v>
      </c>
      <c r="G2" s="2" t="n">
        <v>0</v>
      </c>
      <c r="H2" s="2" t="n">
        <v>0</v>
      </c>
      <c r="I2" s="2" t="n">
        <v>0</v>
      </c>
      <c r="J2" s="2" t="n">
        <v>0</v>
      </c>
      <c r="K2" s="2" t="n"/>
      <c r="L2" s="2" t="n"/>
      <c r="M2" s="2" t="n"/>
      <c r="N2" s="2" t="n">
        <v>0</v>
      </c>
      <c r="O2" s="2" t="n">
        <v>0</v>
      </c>
      <c r="P2" s="2" t="n">
        <v>0</v>
      </c>
    </row>
    <row r="3">
      <c r="A3" s="2" t="inlineStr">
        <is>
          <t>R1</t>
        </is>
      </c>
      <c r="B3" s="2" t="inlineStr">
        <is>
          <t>files</t>
        </is>
      </c>
      <c r="C3" s="2" t="inlineStr">
        <is>
          <t>F2</t>
        </is>
      </c>
      <c r="D3" s="2" t="inlineStr">
        <is>
          <t>failed</t>
        </is>
      </c>
      <c r="E3" s="2" t="n">
        <v>1</v>
      </c>
      <c r="F3" s="2" t="n">
        <v>0</v>
      </c>
      <c r="G3" s="2" t="n">
        <v>1</v>
      </c>
      <c r="H3" s="2" t="n">
        <v>0</v>
      </c>
      <c r="I3" s="2" t="n">
        <v>0</v>
      </c>
      <c r="J3" s="2" t="n">
        <v>0</v>
      </c>
      <c r="K3" s="2" t="n"/>
      <c r="L3" s="2" t="n"/>
      <c r="M3" s="2" t="n"/>
      <c r="N3" s="2" t="n">
        <v>0</v>
      </c>
      <c r="O3" s="2" t="n">
        <v>0</v>
      </c>
      <c r="P3" s="2" t="n">
        <v>0</v>
      </c>
    </row>
    <row r="4">
      <c r="A4" s="2" t="inlineStr">
        <is>
          <t>R1</t>
        </is>
      </c>
      <c r="B4" s="2" t="inlineStr">
        <is>
          <t>files</t>
        </is>
      </c>
      <c r="C4" s="2" t="inlineStr">
        <is>
          <t>F3</t>
        </is>
      </c>
      <c r="D4" s="2" t="inlineStr">
        <is>
          <t>failed</t>
        </is>
      </c>
      <c r="E4" s="2" t="n">
        <v>1</v>
      </c>
      <c r="F4" s="2" t="n">
        <v>0</v>
      </c>
      <c r="G4" s="2" t="n">
        <v>0</v>
      </c>
      <c r="H4" s="2" t="n">
        <v>0</v>
      </c>
      <c r="I4" s="2" t="n">
        <v>0</v>
      </c>
      <c r="J4" s="2" t="n">
        <v>0</v>
      </c>
      <c r="K4" s="2" t="n"/>
      <c r="L4" s="2" t="n"/>
      <c r="M4" s="2" t="n"/>
      <c r="N4" s="2" t="n">
        <v>0</v>
      </c>
      <c r="O4" s="2" t="n">
        <v>0</v>
      </c>
      <c r="P4" s="2" t="n">
        <v>0</v>
      </c>
    </row>
    <row r="5">
      <c r="A5" s="2" t="inlineStr">
        <is>
          <t>R1</t>
        </is>
      </c>
      <c r="B5" s="2" t="inlineStr">
        <is>
          <t>web</t>
        </is>
      </c>
      <c r="C5" s="2" t="inlineStr">
        <is>
          <t>W1</t>
        </is>
      </c>
      <c r="D5" s="2" t="inlineStr">
        <is>
          <t>succeeded</t>
        </is>
      </c>
      <c r="E5" s="2" t="n">
        <v>56</v>
      </c>
      <c r="F5" s="2" t="n">
        <v>56</v>
      </c>
      <c r="G5" s="2" t="n">
        <v>0</v>
      </c>
      <c r="H5" s="2" t="n">
        <v>0</v>
      </c>
      <c r="I5" s="2" t="n">
        <v>17</v>
      </c>
      <c r="J5" s="2" t="n">
        <v>465</v>
      </c>
      <c r="K5" s="2" t="n">
        <v>616</v>
      </c>
      <c r="L5" s="2" t="n">
        <v>800</v>
      </c>
      <c r="M5" s="2" t="n">
        <v>96.3</v>
      </c>
      <c r="N5" s="2" t="n">
        <v>0</v>
      </c>
      <c r="O5" s="2" t="n">
        <v>0</v>
      </c>
      <c r="P5" s="2" t="n">
        <v>8</v>
      </c>
    </row>
    <row r="6">
      <c r="A6" s="2" t="inlineStr">
        <is>
          <t>R1</t>
        </is>
      </c>
      <c r="B6" s="2" t="inlineStr">
        <is>
          <t>web</t>
        </is>
      </c>
      <c r="C6" s="2" t="inlineStr">
        <is>
          <t>W2</t>
        </is>
      </c>
      <c r="D6" s="2" t="inlineStr">
        <is>
          <t>succeeded</t>
        </is>
      </c>
      <c r="E6" s="2" t="n">
        <v>10</v>
      </c>
      <c r="F6" s="2" t="n">
        <v>10</v>
      </c>
      <c r="G6" s="2" t="n">
        <v>0</v>
      </c>
      <c r="H6" s="2" t="n">
        <v>0</v>
      </c>
      <c r="I6" s="2" t="n">
        <v>10</v>
      </c>
      <c r="J6" s="2" t="n">
        <v>2288</v>
      </c>
      <c r="K6" s="2" t="n">
        <v>632</v>
      </c>
      <c r="L6" s="2" t="n">
        <v>800</v>
      </c>
      <c r="M6" s="2" t="n">
        <v>100</v>
      </c>
      <c r="N6" s="2" t="n">
        <v>0</v>
      </c>
      <c r="O6" s="2" t="n">
        <v>0</v>
      </c>
      <c r="P6" s="2" t="n">
        <v>25</v>
      </c>
    </row>
    <row r="7">
      <c r="A7" s="2" t="inlineStr">
        <is>
          <t>R1</t>
        </is>
      </c>
      <c r="B7" s="2" t="inlineStr">
        <is>
          <t>web</t>
        </is>
      </c>
      <c r="C7" s="2" t="inlineStr">
        <is>
          <t>W3</t>
        </is>
      </c>
      <c r="D7" s="2" t="inlineStr">
        <is>
          <t>succeeded</t>
        </is>
      </c>
      <c r="E7" s="2" t="n">
        <v>10</v>
      </c>
      <c r="F7" s="2" t="n">
        <v>10</v>
      </c>
      <c r="G7" s="2" t="n">
        <v>0</v>
      </c>
      <c r="H7" s="2" t="n">
        <v>0</v>
      </c>
      <c r="I7" s="2" t="n">
        <v>10</v>
      </c>
      <c r="J7" s="2" t="n">
        <v>57</v>
      </c>
      <c r="K7" s="2" t="n">
        <v>290</v>
      </c>
      <c r="L7" s="2" t="n">
        <v>710</v>
      </c>
      <c r="M7" s="2" t="n">
        <v>70.2</v>
      </c>
      <c r="N7" s="2" t="n">
        <v>0</v>
      </c>
      <c r="O7" s="2" t="n">
        <v>0</v>
      </c>
      <c r="P7" s="2" t="n">
        <v>8</v>
      </c>
    </row>
    <row r="8">
      <c r="A8" s="2" t="inlineStr">
        <is>
          <t>R1</t>
        </is>
      </c>
      <c r="B8" s="2" t="inlineStr">
        <is>
          <t>web</t>
        </is>
      </c>
      <c r="C8" s="2" t="inlineStr">
        <is>
          <t>W4</t>
        </is>
      </c>
      <c r="D8" s="2" t="inlineStr">
        <is>
          <t>succeeded</t>
        </is>
      </c>
      <c r="E8" s="2" t="n">
        <v>10</v>
      </c>
      <c r="F8" s="2" t="n">
        <v>10</v>
      </c>
      <c r="G8" s="2" t="n">
        <v>0</v>
      </c>
      <c r="H8" s="2" t="n">
        <v>0</v>
      </c>
      <c r="I8" s="2" t="n">
        <v>10</v>
      </c>
      <c r="J8" s="2" t="n">
        <v>399</v>
      </c>
      <c r="K8" s="2" t="n">
        <v>542</v>
      </c>
      <c r="L8" s="2" t="n">
        <v>796</v>
      </c>
      <c r="M8" s="2" t="n">
        <v>97.7</v>
      </c>
      <c r="N8" s="2" t="n">
        <v>0</v>
      </c>
      <c r="O8" s="2" t="n">
        <v>0</v>
      </c>
      <c r="P8" s="2" t="n">
        <v>22</v>
      </c>
    </row>
    <row r="9">
      <c r="A9" s="2" t="inlineStr">
        <is>
          <t>R1w</t>
        </is>
      </c>
      <c r="B9" s="2" t="inlineStr">
        <is>
          <t>files</t>
        </is>
      </c>
      <c r="C9" s="2" t="inlineStr">
        <is>
          <t>F1</t>
        </is>
      </c>
      <c r="D9" s="2" t="inlineStr">
        <is>
          <t>succeeded</t>
        </is>
      </c>
      <c r="E9" s="2" t="n">
        <v>1</v>
      </c>
      <c r="F9" s="2" t="n">
        <v>1</v>
      </c>
      <c r="G9" s="2" t="n">
        <v>0</v>
      </c>
      <c r="H9" s="2" t="n">
        <v>0</v>
      </c>
      <c r="I9" s="2" t="n">
        <v>16</v>
      </c>
      <c r="J9" s="2" t="n">
        <v>159</v>
      </c>
      <c r="K9" s="2" t="n">
        <v>575</v>
      </c>
      <c r="L9" s="2" t="n">
        <v>795</v>
      </c>
      <c r="M9" s="2" t="n">
        <v>100</v>
      </c>
      <c r="N9" s="2" t="n">
        <v>6</v>
      </c>
      <c r="O9" s="2" t="n">
        <v>6</v>
      </c>
      <c r="P9" s="2" t="n">
        <v>4</v>
      </c>
    </row>
    <row r="10">
      <c r="A10" s="2" t="inlineStr">
        <is>
          <t>R1w</t>
        </is>
      </c>
      <c r="B10" s="2" t="inlineStr">
        <is>
          <t>files</t>
        </is>
      </c>
      <c r="C10" s="2" t="inlineStr">
        <is>
          <t>F2</t>
        </is>
      </c>
      <c r="D10" s="2" t="inlineStr">
        <is>
          <t>succeeded</t>
        </is>
      </c>
      <c r="E10" s="2" t="n">
        <v>1</v>
      </c>
      <c r="F10" s="2" t="n">
        <v>1</v>
      </c>
      <c r="G10" s="2" t="n">
        <v>0</v>
      </c>
      <c r="H10" s="2" t="n">
        <v>0</v>
      </c>
      <c r="I10" s="2" t="n">
        <v>62</v>
      </c>
      <c r="J10" s="2" t="n">
        <v>536</v>
      </c>
      <c r="K10" s="2" t="n">
        <v>644.5</v>
      </c>
      <c r="L10" s="2" t="n">
        <v>800</v>
      </c>
      <c r="M10" s="2" t="n">
        <v>99.8</v>
      </c>
      <c r="N10" s="2" t="n">
        <v>232</v>
      </c>
      <c r="O10" s="2" t="n">
        <v>232</v>
      </c>
      <c r="P10" s="2" t="n">
        <v>7</v>
      </c>
    </row>
    <row r="11">
      <c r="A11" s="2" t="inlineStr">
        <is>
          <t>R1w</t>
        </is>
      </c>
      <c r="B11" s="2" t="inlineStr">
        <is>
          <t>files</t>
        </is>
      </c>
      <c r="C11" s="2" t="inlineStr">
        <is>
          <t>F3</t>
        </is>
      </c>
      <c r="D11" s="2" t="inlineStr">
        <is>
          <t>succeeded</t>
        </is>
      </c>
      <c r="E11" s="2" t="n">
        <v>1</v>
      </c>
      <c r="F11" s="2" t="n">
        <v>1</v>
      </c>
      <c r="G11" s="2" t="n">
        <v>0</v>
      </c>
      <c r="H11" s="2" t="n">
        <v>0</v>
      </c>
      <c r="I11" s="2" t="n">
        <v>9</v>
      </c>
      <c r="J11" s="2" t="n">
        <v>23</v>
      </c>
      <c r="K11" s="2" t="n">
        <v>543</v>
      </c>
      <c r="L11" s="2" t="n">
        <v>799</v>
      </c>
      <c r="M11" s="2" t="n">
        <v>0</v>
      </c>
      <c r="N11" s="2" t="n">
        <v>0</v>
      </c>
      <c r="O11" s="2" t="n">
        <v>0</v>
      </c>
      <c r="P11" s="2" t="n">
        <v>1</v>
      </c>
    </row>
    <row r="12">
      <c r="A12" s="2" t="inlineStr">
        <is>
          <t>R2</t>
        </is>
      </c>
      <c r="B12" s="2" t="inlineStr">
        <is>
          <t>files</t>
        </is>
      </c>
      <c r="C12" s="2" t="inlineStr">
        <is>
          <t>F1</t>
        </is>
      </c>
      <c r="D12" s="2" t="inlineStr">
        <is>
          <t>succeeded</t>
        </is>
      </c>
      <c r="E12" s="2" t="n">
        <v>1</v>
      </c>
      <c r="F12" s="2" t="n">
        <v>1</v>
      </c>
      <c r="G12" s="2" t="n">
        <v>0</v>
      </c>
      <c r="H12" s="2" t="n">
        <v>0</v>
      </c>
      <c r="I12" s="2" t="n">
        <v>16</v>
      </c>
      <c r="J12" s="2" t="n">
        <v>189</v>
      </c>
      <c r="K12" s="2" t="n">
        <v>390</v>
      </c>
      <c r="L12" s="2" t="n">
        <v>795</v>
      </c>
      <c r="M12" s="2" t="n">
        <v>31.7</v>
      </c>
      <c r="N12" s="2" t="n">
        <v>5</v>
      </c>
      <c r="O12" s="2" t="n">
        <v>5</v>
      </c>
      <c r="P12" s="2" t="n">
        <v>12</v>
      </c>
    </row>
    <row r="13">
      <c r="A13" s="2" t="inlineStr">
        <is>
          <t>R2</t>
        </is>
      </c>
      <c r="B13" s="2" t="inlineStr">
        <is>
          <t>files</t>
        </is>
      </c>
      <c r="C13" s="2" t="inlineStr">
        <is>
          <t>F2</t>
        </is>
      </c>
      <c r="D13" s="2" t="inlineStr">
        <is>
          <t>succeeded</t>
        </is>
      </c>
      <c r="E13" s="2" t="n">
        <v>1</v>
      </c>
      <c r="F13" s="2" t="n">
        <v>1</v>
      </c>
      <c r="G13" s="2" t="n">
        <v>0</v>
      </c>
      <c r="H13" s="2" t="n">
        <v>0</v>
      </c>
      <c r="I13" s="2" t="n">
        <v>62</v>
      </c>
      <c r="J13" s="2" t="n">
        <v>545</v>
      </c>
      <c r="K13" s="2" t="n">
        <v>533</v>
      </c>
      <c r="L13" s="2" t="n">
        <v>800</v>
      </c>
      <c r="M13" s="2" t="n">
        <v>27.5</v>
      </c>
      <c r="N13" s="2" t="n">
        <v>149</v>
      </c>
      <c r="O13" s="2" t="n">
        <v>149</v>
      </c>
      <c r="P13" s="2" t="n">
        <v>45</v>
      </c>
    </row>
    <row r="14">
      <c r="A14" s="2" t="inlineStr">
        <is>
          <t>R2</t>
        </is>
      </c>
      <c r="B14" s="2" t="inlineStr">
        <is>
          <t>files</t>
        </is>
      </c>
      <c r="C14" s="2" t="inlineStr">
        <is>
          <t>F3</t>
        </is>
      </c>
      <c r="D14" s="2" t="inlineStr">
        <is>
          <t>succeeded</t>
        </is>
      </c>
      <c r="E14" s="2" t="n">
        <v>1</v>
      </c>
      <c r="F14" s="2" t="n">
        <v>1</v>
      </c>
      <c r="G14" s="2" t="n">
        <v>0</v>
      </c>
      <c r="H14" s="2" t="n">
        <v>0</v>
      </c>
      <c r="I14" s="2" t="n">
        <v>9</v>
      </c>
      <c r="J14" s="2" t="n">
        <v>24</v>
      </c>
      <c r="K14" s="2" t="n">
        <v>622</v>
      </c>
      <c r="L14" s="2" t="n">
        <v>654</v>
      </c>
      <c r="M14" s="2" t="n">
        <v>0</v>
      </c>
      <c r="N14" s="2" t="n">
        <v>0</v>
      </c>
      <c r="O14" s="2" t="n">
        <v>0</v>
      </c>
      <c r="P14" s="2" t="n">
        <v>1</v>
      </c>
    </row>
    <row r="15">
      <c r="A15" s="2" t="inlineStr">
        <is>
          <t>R3a</t>
        </is>
      </c>
      <c r="B15" s="2" t="inlineStr">
        <is>
          <t>files</t>
        </is>
      </c>
      <c r="C15" s="2" t="inlineStr">
        <is>
          <t>F1</t>
        </is>
      </c>
      <c r="D15" s="2" t="inlineStr">
        <is>
          <t>succeeded</t>
        </is>
      </c>
      <c r="E15" s="2" t="n">
        <v>1</v>
      </c>
      <c r="F15" s="2" t="n">
        <v>1</v>
      </c>
      <c r="G15" s="2" t="n">
        <v>0</v>
      </c>
      <c r="H15" s="2" t="n">
        <v>0</v>
      </c>
      <c r="I15" s="2" t="n">
        <v>16</v>
      </c>
      <c r="J15" s="2" t="n">
        <v>159</v>
      </c>
      <c r="K15" s="2" t="n">
        <v>575</v>
      </c>
      <c r="L15" s="2" t="n">
        <v>795</v>
      </c>
      <c r="M15" s="2" t="n">
        <v>100</v>
      </c>
      <c r="N15" s="2" t="n">
        <v>6</v>
      </c>
      <c r="O15" s="2" t="n">
        <v>6</v>
      </c>
      <c r="P15" s="2" t="n">
        <v>4</v>
      </c>
    </row>
    <row r="16">
      <c r="A16" s="2" t="inlineStr">
        <is>
          <t>R3a</t>
        </is>
      </c>
      <c r="B16" s="2" t="inlineStr">
        <is>
          <t>files</t>
        </is>
      </c>
      <c r="C16" s="2" t="inlineStr">
        <is>
          <t>F2</t>
        </is>
      </c>
      <c r="D16" s="2" t="inlineStr">
        <is>
          <t>succeeded</t>
        </is>
      </c>
      <c r="E16" s="2" t="n">
        <v>1</v>
      </c>
      <c r="F16" s="2" t="n">
        <v>1</v>
      </c>
      <c r="G16" s="2" t="n">
        <v>0</v>
      </c>
      <c r="H16" s="2" t="n">
        <v>0</v>
      </c>
      <c r="I16" s="2" t="n">
        <v>62</v>
      </c>
      <c r="J16" s="2" t="n">
        <v>536</v>
      </c>
      <c r="K16" s="2" t="n">
        <v>644.5</v>
      </c>
      <c r="L16" s="2" t="n">
        <v>800</v>
      </c>
      <c r="M16" s="2" t="n">
        <v>99.8</v>
      </c>
      <c r="N16" s="2" t="n">
        <v>232</v>
      </c>
      <c r="O16" s="2" t="n">
        <v>232</v>
      </c>
      <c r="P16" s="2" t="n">
        <v>7</v>
      </c>
    </row>
    <row r="17">
      <c r="A17" s="2" t="inlineStr">
        <is>
          <t>R3a</t>
        </is>
      </c>
      <c r="B17" s="2" t="inlineStr">
        <is>
          <t>files</t>
        </is>
      </c>
      <c r="C17" s="2" t="inlineStr">
        <is>
          <t>F3</t>
        </is>
      </c>
      <c r="D17" s="2" t="inlineStr">
        <is>
          <t>succeeded</t>
        </is>
      </c>
      <c r="E17" s="2" t="n">
        <v>1</v>
      </c>
      <c r="F17" s="2" t="n">
        <v>1</v>
      </c>
      <c r="G17" s="2" t="n">
        <v>0</v>
      </c>
      <c r="H17" s="2" t="n">
        <v>0</v>
      </c>
      <c r="I17" s="2" t="n">
        <v>9</v>
      </c>
      <c r="J17" s="2" t="n">
        <v>23</v>
      </c>
      <c r="K17" s="2" t="n">
        <v>543</v>
      </c>
      <c r="L17" s="2" t="n">
        <v>799</v>
      </c>
      <c r="M17" s="2" t="n">
        <v>0</v>
      </c>
      <c r="N17" s="2" t="n">
        <v>0</v>
      </c>
      <c r="O17" s="2" t="n">
        <v>0</v>
      </c>
      <c r="P17" s="2" t="n">
        <v>1</v>
      </c>
    </row>
    <row r="18">
      <c r="A18" s="2" t="inlineStr">
        <is>
          <t>R3b</t>
        </is>
      </c>
      <c r="B18" s="2" t="inlineStr">
        <is>
          <t>files</t>
        </is>
      </c>
      <c r="C18" s="2" t="inlineStr">
        <is>
          <t>F1</t>
        </is>
      </c>
      <c r="D18" s="2" t="inlineStr">
        <is>
          <t>failed</t>
        </is>
      </c>
      <c r="E18" s="2" t="n">
        <v>1</v>
      </c>
      <c r="F18" s="2" t="n">
        <v>0</v>
      </c>
      <c r="G18" s="2" t="n">
        <v>0</v>
      </c>
      <c r="H18" s="2" t="n">
        <v>0</v>
      </c>
      <c r="I18" s="2" t="n">
        <v>0</v>
      </c>
      <c r="J18" s="2" t="n">
        <v>0</v>
      </c>
      <c r="K18" s="2" t="n"/>
      <c r="L18" s="2" t="n"/>
      <c r="M18" s="2" t="n"/>
      <c r="N18" s="2" t="n">
        <v>0</v>
      </c>
      <c r="O18" s="2" t="n">
        <v>0</v>
      </c>
      <c r="P18" s="2" t="n">
        <v>0</v>
      </c>
    </row>
    <row r="19">
      <c r="A19" s="2" t="inlineStr">
        <is>
          <t>R3b</t>
        </is>
      </c>
      <c r="B19" s="2" t="inlineStr">
        <is>
          <t>files</t>
        </is>
      </c>
      <c r="C19" s="2" t="inlineStr">
        <is>
          <t>F2</t>
        </is>
      </c>
      <c r="D19" s="2" t="inlineStr">
        <is>
          <t>failed</t>
        </is>
      </c>
      <c r="E19" s="2" t="n">
        <v>1</v>
      </c>
      <c r="F19" s="2" t="n">
        <v>0</v>
      </c>
      <c r="G19" s="2" t="n">
        <v>0</v>
      </c>
      <c r="H19" s="2" t="n">
        <v>0</v>
      </c>
      <c r="I19" s="2" t="n">
        <v>0</v>
      </c>
      <c r="J19" s="2" t="n">
        <v>0</v>
      </c>
      <c r="K19" s="2" t="n"/>
      <c r="L19" s="2" t="n"/>
      <c r="M19" s="2" t="n"/>
      <c r="N19" s="2" t="n">
        <v>0</v>
      </c>
      <c r="O19" s="2" t="n">
        <v>0</v>
      </c>
      <c r="P19" s="2" t="n">
        <v>0</v>
      </c>
    </row>
    <row r="20">
      <c r="A20" s="2" t="inlineStr">
        <is>
          <t>R3b</t>
        </is>
      </c>
      <c r="B20" s="2" t="inlineStr">
        <is>
          <t>files</t>
        </is>
      </c>
      <c r="C20" s="2" t="inlineStr">
        <is>
          <t>F3</t>
        </is>
      </c>
      <c r="D20" s="2" t="inlineStr">
        <is>
          <t>failed</t>
        </is>
      </c>
      <c r="E20" s="2" t="n">
        <v>1</v>
      </c>
      <c r="F20" s="2" t="n">
        <v>0</v>
      </c>
      <c r="G20" s="2" t="n">
        <v>1</v>
      </c>
      <c r="H20" s="2" t="n">
        <v>0</v>
      </c>
      <c r="I20" s="2" t="n">
        <v>0</v>
      </c>
      <c r="J20" s="2" t="n">
        <v>0</v>
      </c>
      <c r="K20" s="2" t="n"/>
      <c r="L20" s="2" t="n"/>
      <c r="M20" s="2" t="n"/>
      <c r="N20" s="2" t="n">
        <v>0</v>
      </c>
      <c r="O20" s="2" t="n">
        <v>0</v>
      </c>
      <c r="P20" s="2" t="n">
        <v>0</v>
      </c>
    </row>
    <row r="21">
      <c r="A21" s="2" t="inlineStr">
        <is>
          <t>R4</t>
        </is>
      </c>
      <c r="B21" s="2" t="inlineStr">
        <is>
          <t>files</t>
        </is>
      </c>
      <c r="C21" s="2" t="inlineStr">
        <is>
          <t>F1</t>
        </is>
      </c>
      <c r="D21" s="2" t="inlineStr">
        <is>
          <t>succeeded</t>
        </is>
      </c>
      <c r="E21" s="2" t="n">
        <v>1</v>
      </c>
      <c r="F21" s="2" t="n">
        <v>1</v>
      </c>
      <c r="G21" s="2" t="n">
        <v>0</v>
      </c>
      <c r="H21" s="2" t="n">
        <v>0</v>
      </c>
      <c r="I21" s="2" t="n">
        <v>16</v>
      </c>
      <c r="J21" s="2" t="n">
        <v>156</v>
      </c>
      <c r="K21" s="2" t="n">
        <v>572.5</v>
      </c>
      <c r="L21" s="2" t="n">
        <v>795</v>
      </c>
      <c r="M21" s="2" t="n">
        <v>100</v>
      </c>
      <c r="N21" s="2" t="n">
        <v>0</v>
      </c>
      <c r="O21" s="2" t="n">
        <v>0</v>
      </c>
      <c r="P21" s="2" t="n">
        <v>4</v>
      </c>
    </row>
    <row r="22">
      <c r="A22" s="2" t="inlineStr">
        <is>
          <t>R4</t>
        </is>
      </c>
      <c r="B22" s="2" t="inlineStr">
        <is>
          <t>files</t>
        </is>
      </c>
      <c r="C22" s="2" t="inlineStr">
        <is>
          <t>F2</t>
        </is>
      </c>
      <c r="D22" s="2" t="inlineStr">
        <is>
          <t>succeeded</t>
        </is>
      </c>
      <c r="E22" s="2" t="n">
        <v>1</v>
      </c>
      <c r="F22" s="2" t="n">
        <v>1</v>
      </c>
      <c r="G22" s="2" t="n">
        <v>0</v>
      </c>
      <c r="H22" s="2" t="n">
        <v>0</v>
      </c>
      <c r="I22" s="2" t="n">
        <v>62</v>
      </c>
      <c r="J22" s="2" t="n">
        <v>505</v>
      </c>
      <c r="K22" s="2" t="n">
        <v>636</v>
      </c>
      <c r="L22" s="2" t="n">
        <v>800</v>
      </c>
      <c r="M22" s="2" t="n">
        <v>99.8</v>
      </c>
      <c r="N22" s="2" t="n">
        <v>0</v>
      </c>
      <c r="O22" s="2" t="n">
        <v>0</v>
      </c>
      <c r="P22" s="2" t="n">
        <v>8</v>
      </c>
    </row>
    <row r="23">
      <c r="A23" s="2" t="inlineStr">
        <is>
          <t>R4</t>
        </is>
      </c>
      <c r="B23" s="2" t="inlineStr">
        <is>
          <t>files</t>
        </is>
      </c>
      <c r="C23" s="2" t="inlineStr">
        <is>
          <t>F3</t>
        </is>
      </c>
      <c r="D23" s="2" t="inlineStr">
        <is>
          <t>succeeded</t>
        </is>
      </c>
      <c r="E23" s="2" t="n">
        <v>1</v>
      </c>
      <c r="F23" s="2" t="n">
        <v>1</v>
      </c>
      <c r="G23" s="2" t="n">
        <v>0</v>
      </c>
      <c r="H23" s="2" t="n">
        <v>0</v>
      </c>
      <c r="I23" s="2" t="n">
        <v>9</v>
      </c>
      <c r="J23" s="2" t="n">
        <v>23</v>
      </c>
      <c r="K23" s="2" t="n">
        <v>543</v>
      </c>
      <c r="L23" s="2" t="n">
        <v>799</v>
      </c>
      <c r="M23" s="2" t="n">
        <v>0</v>
      </c>
      <c r="N23" s="2" t="n">
        <v>0</v>
      </c>
      <c r="O23" s="2" t="n">
        <v>0</v>
      </c>
      <c r="P23" s="2" t="n">
        <v>1</v>
      </c>
    </row>
    <row r="24">
      <c r="A24" s="2" t="inlineStr">
        <is>
          <t>R5</t>
        </is>
      </c>
      <c r="B24" s="2" t="inlineStr">
        <is>
          <t>web</t>
        </is>
      </c>
      <c r="C24" s="2" t="inlineStr">
        <is>
          <t>W1</t>
        </is>
      </c>
      <c r="D24" s="2" t="inlineStr">
        <is>
          <t>succeeded</t>
        </is>
      </c>
      <c r="E24" s="2" t="n">
        <v>17</v>
      </c>
      <c r="F24" s="2" t="n">
        <v>17</v>
      </c>
      <c r="G24" s="2" t="n">
        <v>0</v>
      </c>
      <c r="H24" s="2" t="n">
        <v>0</v>
      </c>
      <c r="I24" s="2" t="n">
        <v>17</v>
      </c>
      <c r="J24" s="2" t="n">
        <v>465</v>
      </c>
      <c r="K24" s="2" t="n">
        <v>616</v>
      </c>
      <c r="L24" s="2" t="n">
        <v>800</v>
      </c>
      <c r="M24" s="2" t="n">
        <v>96.3</v>
      </c>
      <c r="N24" s="2" t="n">
        <v>0</v>
      </c>
      <c r="O24" s="2" t="n">
        <v>0</v>
      </c>
      <c r="P24" s="2" t="n">
        <v>8</v>
      </c>
    </row>
    <row r="25">
      <c r="A25" s="2" t="inlineStr">
        <is>
          <t>R5</t>
        </is>
      </c>
      <c r="B25" s="2" t="inlineStr">
        <is>
          <t>web</t>
        </is>
      </c>
      <c r="C25" s="2" t="inlineStr">
        <is>
          <t>W2</t>
        </is>
      </c>
      <c r="D25" s="2" t="inlineStr">
        <is>
          <t>succeeded</t>
        </is>
      </c>
      <c r="E25" s="2" t="n">
        <v>10</v>
      </c>
      <c r="F25" s="2" t="n">
        <v>10</v>
      </c>
      <c r="G25" s="2" t="n">
        <v>0</v>
      </c>
      <c r="H25" s="2" t="n">
        <v>0</v>
      </c>
      <c r="I25" s="2" t="n">
        <v>10</v>
      </c>
      <c r="J25" s="2" t="n">
        <v>2288</v>
      </c>
      <c r="K25" s="2" t="n">
        <v>632</v>
      </c>
      <c r="L25" s="2" t="n">
        <v>800</v>
      </c>
      <c r="M25" s="2" t="n">
        <v>100</v>
      </c>
      <c r="N25" s="2" t="n">
        <v>0</v>
      </c>
      <c r="O25" s="2" t="n">
        <v>0</v>
      </c>
      <c r="P25" s="2" t="n">
        <v>25</v>
      </c>
    </row>
    <row r="26">
      <c r="A26" s="2" t="inlineStr">
        <is>
          <t>R5</t>
        </is>
      </c>
      <c r="B26" s="2" t="inlineStr">
        <is>
          <t>web</t>
        </is>
      </c>
      <c r="C26" s="2" t="inlineStr">
        <is>
          <t>W3</t>
        </is>
      </c>
      <c r="D26" s="2" t="inlineStr">
        <is>
          <t>succeeded</t>
        </is>
      </c>
      <c r="E26" s="2" t="n">
        <v>10</v>
      </c>
      <c r="F26" s="2" t="n">
        <v>10</v>
      </c>
      <c r="G26" s="2" t="n">
        <v>0</v>
      </c>
      <c r="H26" s="2" t="n">
        <v>0</v>
      </c>
      <c r="I26" s="2" t="n">
        <v>10</v>
      </c>
      <c r="J26" s="2" t="n">
        <v>57</v>
      </c>
      <c r="K26" s="2" t="n">
        <v>290</v>
      </c>
      <c r="L26" s="2" t="n">
        <v>710</v>
      </c>
      <c r="M26" s="2" t="n">
        <v>70.2</v>
      </c>
      <c r="N26" s="2" t="n">
        <v>0</v>
      </c>
      <c r="O26" s="2" t="n">
        <v>0</v>
      </c>
      <c r="P26" s="2" t="n">
        <v>8</v>
      </c>
    </row>
    <row r="27">
      <c r="A27" s="2" t="inlineStr">
        <is>
          <t>R5</t>
        </is>
      </c>
      <c r="B27" s="2" t="inlineStr">
        <is>
          <t>web</t>
        </is>
      </c>
      <c r="C27" s="2" t="inlineStr">
        <is>
          <t>W4</t>
        </is>
      </c>
      <c r="D27" s="2" t="inlineStr">
        <is>
          <t>succeeded</t>
        </is>
      </c>
      <c r="E27" s="2" t="n">
        <v>10</v>
      </c>
      <c r="F27" s="2" t="n">
        <v>10</v>
      </c>
      <c r="G27" s="2" t="n">
        <v>0</v>
      </c>
      <c r="H27" s="2" t="n">
        <v>0</v>
      </c>
      <c r="I27" s="2" t="n">
        <v>10</v>
      </c>
      <c r="J27" s="2" t="n">
        <v>399</v>
      </c>
      <c r="K27" s="2" t="n">
        <v>542</v>
      </c>
      <c r="L27" s="2" t="n">
        <v>796</v>
      </c>
      <c r="M27" s="2" t="n">
        <v>97.7</v>
      </c>
      <c r="N27" s="2" t="n">
        <v>0</v>
      </c>
      <c r="O27" s="2" t="n">
        <v>0</v>
      </c>
      <c r="P27" s="2" t="n">
        <v>22</v>
      </c>
    </row>
    <row r="28">
      <c r="A28" s="2" t="inlineStr">
        <is>
          <t>R6</t>
        </is>
      </c>
      <c r="B28" s="2" t="inlineStr">
        <is>
          <t>files</t>
        </is>
      </c>
      <c r="C28" s="2" t="inlineStr">
        <is>
          <t>F1</t>
        </is>
      </c>
      <c r="D28" s="2" t="inlineStr">
        <is>
          <t>succeeded</t>
        </is>
      </c>
      <c r="E28" s="2" t="n">
        <v>1</v>
      </c>
      <c r="F28" s="2" t="n">
        <v>1</v>
      </c>
      <c r="G28" s="2" t="n">
        <v>0</v>
      </c>
      <c r="H28" s="2" t="n">
        <v>0</v>
      </c>
      <c r="I28" s="2" t="n">
        <v>16</v>
      </c>
      <c r="J28" s="2" t="n">
        <v>275</v>
      </c>
      <c r="K28" s="2" t="n">
        <v>302</v>
      </c>
      <c r="L28" s="2" t="n">
        <v>400</v>
      </c>
      <c r="M28" s="2" t="n">
        <v>100</v>
      </c>
      <c r="N28" s="2" t="n">
        <v>10</v>
      </c>
      <c r="O28" s="2" t="n">
        <v>10</v>
      </c>
      <c r="P28" s="2" t="n">
        <v>4</v>
      </c>
    </row>
    <row r="29">
      <c r="A29" s="2" t="inlineStr">
        <is>
          <t>R6</t>
        </is>
      </c>
      <c r="B29" s="2" t="inlineStr">
        <is>
          <t>files</t>
        </is>
      </c>
      <c r="C29" s="2" t="inlineStr">
        <is>
          <t>F2</t>
        </is>
      </c>
      <c r="D29" s="2" t="inlineStr">
        <is>
          <t>succeeded</t>
        </is>
      </c>
      <c r="E29" s="2" t="n">
        <v>1</v>
      </c>
      <c r="F29" s="2" t="n">
        <v>1</v>
      </c>
      <c r="G29" s="2" t="n">
        <v>0</v>
      </c>
      <c r="H29" s="2" t="n">
        <v>0</v>
      </c>
      <c r="I29" s="2" t="n">
        <v>62</v>
      </c>
      <c r="J29" s="2" t="n">
        <v>1276</v>
      </c>
      <c r="K29" s="2" t="n">
        <v>378</v>
      </c>
      <c r="L29" s="2" t="n">
        <v>400</v>
      </c>
      <c r="M29" s="2" t="n">
        <v>99.90000000000001</v>
      </c>
      <c r="N29" s="2" t="n">
        <v>755</v>
      </c>
      <c r="O29" s="2" t="n">
        <v>755</v>
      </c>
      <c r="P29" s="2" t="n">
        <v>15</v>
      </c>
    </row>
    <row r="30">
      <c r="A30" s="2" t="inlineStr">
        <is>
          <t>R6</t>
        </is>
      </c>
      <c r="B30" s="2" t="inlineStr">
        <is>
          <t>files</t>
        </is>
      </c>
      <c r="C30" s="2" t="inlineStr">
        <is>
          <t>F3</t>
        </is>
      </c>
      <c r="D30" s="2" t="inlineStr">
        <is>
          <t>succeeded</t>
        </is>
      </c>
      <c r="E30" s="2" t="n">
        <v>1</v>
      </c>
      <c r="F30" s="2" t="n">
        <v>1</v>
      </c>
      <c r="G30" s="2" t="n">
        <v>0</v>
      </c>
      <c r="H30" s="2" t="n">
        <v>0</v>
      </c>
      <c r="I30" s="2" t="n">
        <v>9</v>
      </c>
      <c r="J30" s="2" t="n">
        <v>42</v>
      </c>
      <c r="K30" s="2" t="n">
        <v>315.5</v>
      </c>
      <c r="L30" s="2" t="n">
        <v>397</v>
      </c>
      <c r="M30" s="2" t="n">
        <v>0</v>
      </c>
      <c r="N30" s="2" t="n">
        <v>0</v>
      </c>
      <c r="O30" s="2" t="n">
        <v>0</v>
      </c>
      <c r="P30" s="2" t="n">
        <v>2</v>
      </c>
    </row>
    <row r="31">
      <c r="A31" s="2" t="inlineStr">
        <is>
          <t>R6</t>
        </is>
      </c>
      <c r="B31" s="2" t="inlineStr">
        <is>
          <t>web</t>
        </is>
      </c>
      <c r="C31" s="2" t="inlineStr">
        <is>
          <t>W1</t>
        </is>
      </c>
      <c r="D31" s="2" t="inlineStr">
        <is>
          <t>succeeded</t>
        </is>
      </c>
      <c r="E31" s="2" t="n">
        <v>17</v>
      </c>
      <c r="F31" s="2" t="n">
        <v>17</v>
      </c>
      <c r="G31" s="2" t="n">
        <v>0</v>
      </c>
      <c r="H31" s="2" t="n">
        <v>0</v>
      </c>
      <c r="I31" s="2" t="n">
        <v>17</v>
      </c>
      <c r="J31" s="2" t="n">
        <v>898</v>
      </c>
      <c r="K31" s="2" t="n">
        <v>318</v>
      </c>
      <c r="L31" s="2" t="n">
        <v>400</v>
      </c>
      <c r="M31" s="2" t="n">
        <v>100</v>
      </c>
      <c r="N31" s="2" t="n">
        <v>0</v>
      </c>
      <c r="O31" s="2" t="n">
        <v>0</v>
      </c>
      <c r="P31" s="2" t="n">
        <v>38</v>
      </c>
    </row>
    <row r="32">
      <c r="A32" s="2" t="inlineStr">
        <is>
          <t>R6</t>
        </is>
      </c>
      <c r="B32" s="2" t="inlineStr">
        <is>
          <t>web</t>
        </is>
      </c>
      <c r="C32" s="2" t="inlineStr">
        <is>
          <t>W2</t>
        </is>
      </c>
      <c r="D32" s="2" t="inlineStr">
        <is>
          <t>succeeded</t>
        </is>
      </c>
      <c r="E32" s="2" t="n">
        <v>10</v>
      </c>
      <c r="F32" s="2" t="n">
        <v>10</v>
      </c>
      <c r="G32" s="2" t="n">
        <v>0</v>
      </c>
      <c r="H32" s="2" t="n">
        <v>0</v>
      </c>
      <c r="I32" s="2" t="n">
        <v>10</v>
      </c>
      <c r="J32" s="2" t="n">
        <v>4506</v>
      </c>
      <c r="K32" s="2" t="n">
        <v>317</v>
      </c>
      <c r="L32" s="2" t="n">
        <v>400</v>
      </c>
      <c r="M32" s="2" t="n">
        <v>100</v>
      </c>
      <c r="N32" s="2" t="n">
        <v>0</v>
      </c>
      <c r="O32" s="2" t="n">
        <v>0</v>
      </c>
      <c r="P32" s="2" t="n">
        <v>58</v>
      </c>
    </row>
    <row r="33">
      <c r="A33" s="2" t="inlineStr">
        <is>
          <t>R6</t>
        </is>
      </c>
      <c r="B33" s="2" t="inlineStr">
        <is>
          <t>web</t>
        </is>
      </c>
      <c r="C33" s="2" t="inlineStr">
        <is>
          <t>W3</t>
        </is>
      </c>
      <c r="D33" s="2" t="inlineStr">
        <is>
          <t>succeeded</t>
        </is>
      </c>
      <c r="E33" s="2" t="n">
        <v>10</v>
      </c>
      <c r="F33" s="2" t="n">
        <v>10</v>
      </c>
      <c r="G33" s="2" t="n">
        <v>0</v>
      </c>
      <c r="H33" s="2" t="n">
        <v>0</v>
      </c>
      <c r="I33" s="2" t="n">
        <v>10</v>
      </c>
      <c r="J33" s="2" t="n">
        <v>78</v>
      </c>
      <c r="K33" s="2" t="n">
        <v>268.5</v>
      </c>
      <c r="L33" s="2" t="n">
        <v>393</v>
      </c>
      <c r="M33" s="2" t="n">
        <v>100</v>
      </c>
      <c r="N33" s="2" t="n">
        <v>0</v>
      </c>
      <c r="O33" s="2" t="n">
        <v>0</v>
      </c>
      <c r="P33" s="2" t="n">
        <v>8</v>
      </c>
    </row>
    <row r="34">
      <c r="A34" s="2" t="inlineStr">
        <is>
          <t>R6</t>
        </is>
      </c>
      <c r="B34" s="2" t="inlineStr">
        <is>
          <t>web</t>
        </is>
      </c>
      <c r="C34" s="2" t="inlineStr">
        <is>
          <t>W4</t>
        </is>
      </c>
      <c r="D34" s="2" t="inlineStr">
        <is>
          <t>succeeded</t>
        </is>
      </c>
      <c r="E34" s="2" t="n">
        <v>10</v>
      </c>
      <c r="F34" s="2" t="n">
        <v>10</v>
      </c>
      <c r="G34" s="2" t="n">
        <v>0</v>
      </c>
      <c r="H34" s="2" t="n">
        <v>0</v>
      </c>
      <c r="I34" s="2" t="n">
        <v>10</v>
      </c>
      <c r="J34" s="2" t="n">
        <v>716</v>
      </c>
      <c r="K34" s="2" t="n">
        <v>300</v>
      </c>
      <c r="L34" s="2" t="n">
        <v>400</v>
      </c>
      <c r="M34" s="2" t="n">
        <v>100</v>
      </c>
      <c r="N34" s="2" t="n">
        <v>0</v>
      </c>
      <c r="O34" s="2" t="n">
        <v>0</v>
      </c>
      <c r="P34" s="2" t="n">
        <v>32</v>
      </c>
    </row>
    <row r="35">
      <c r="A35" s="2" t="inlineStr">
        <is>
          <t>A1</t>
        </is>
      </c>
      <c r="B35" s="2" t="inlineStr">
        <is>
          <t>files</t>
        </is>
      </c>
      <c r="C35" s="2" t="inlineStr">
        <is>
          <t>F1</t>
        </is>
      </c>
      <c r="D35" s="2" t="inlineStr">
        <is>
          <t>succeeded</t>
        </is>
      </c>
      <c r="E35" s="2" t="n">
        <v>1</v>
      </c>
      <c r="F35" s="2" t="n">
        <v>1</v>
      </c>
      <c r="G35" s="2" t="n">
        <v>0</v>
      </c>
      <c r="H35" s="2" t="n">
        <v>0</v>
      </c>
      <c r="I35" s="2" t="n">
        <v>16</v>
      </c>
      <c r="J35" s="2" t="n">
        <v>159</v>
      </c>
      <c r="K35" s="2" t="n">
        <v>575</v>
      </c>
      <c r="L35" s="2" t="n">
        <v>795</v>
      </c>
      <c r="M35" s="2" t="n">
        <v>100</v>
      </c>
      <c r="N35" s="2" t="n">
        <v>6</v>
      </c>
      <c r="O35" s="2" t="n">
        <v>6</v>
      </c>
      <c r="P35" s="2" t="n">
        <v>4</v>
      </c>
    </row>
    <row r="36">
      <c r="A36" s="2" t="inlineStr">
        <is>
          <t>A1</t>
        </is>
      </c>
      <c r="B36" s="2" t="inlineStr">
        <is>
          <t>files</t>
        </is>
      </c>
      <c r="C36" s="2" t="inlineStr">
        <is>
          <t>F2</t>
        </is>
      </c>
      <c r="D36" s="2" t="inlineStr">
        <is>
          <t>succeeded</t>
        </is>
      </c>
      <c r="E36" s="2" t="n">
        <v>1</v>
      </c>
      <c r="F36" s="2" t="n">
        <v>1</v>
      </c>
      <c r="G36" s="2" t="n">
        <v>0</v>
      </c>
      <c r="H36" s="2" t="n">
        <v>0</v>
      </c>
      <c r="I36" s="2" t="n">
        <v>62</v>
      </c>
      <c r="J36" s="2" t="n">
        <v>516</v>
      </c>
      <c r="K36" s="2" t="n">
        <v>640</v>
      </c>
      <c r="L36" s="2" t="n">
        <v>800</v>
      </c>
      <c r="M36" s="2" t="n">
        <v>99.8</v>
      </c>
      <c r="N36" s="2" t="n">
        <v>148</v>
      </c>
      <c r="O36" s="2" t="n">
        <v>148</v>
      </c>
      <c r="P36" s="2" t="n">
        <v>7</v>
      </c>
    </row>
    <row r="37">
      <c r="A37" s="2" t="inlineStr">
        <is>
          <t>A1</t>
        </is>
      </c>
      <c r="B37" s="2" t="inlineStr">
        <is>
          <t>files</t>
        </is>
      </c>
      <c r="C37" s="2" t="inlineStr">
        <is>
          <t>F3</t>
        </is>
      </c>
      <c r="D37" s="2" t="inlineStr">
        <is>
          <t>succeeded</t>
        </is>
      </c>
      <c r="E37" s="2" t="n">
        <v>1</v>
      </c>
      <c r="F37" s="2" t="n">
        <v>1</v>
      </c>
      <c r="G37" s="2" t="n">
        <v>0</v>
      </c>
      <c r="H37" s="2" t="n">
        <v>0</v>
      </c>
      <c r="I37" s="2" t="n">
        <v>9</v>
      </c>
      <c r="J37" s="2" t="n">
        <v>23</v>
      </c>
      <c r="K37" s="2" t="n">
        <v>543</v>
      </c>
      <c r="L37" s="2" t="n">
        <v>799</v>
      </c>
      <c r="M37" s="2" t="n">
        <v>0</v>
      </c>
      <c r="N37" s="2" t="n">
        <v>0</v>
      </c>
      <c r="O37" s="2" t="n">
        <v>0</v>
      </c>
      <c r="P37" s="2" t="n">
        <v>1</v>
      </c>
    </row>
    <row r="38">
      <c r="A38" s="2" t="inlineStr">
        <is>
          <t>A1</t>
        </is>
      </c>
      <c r="B38" s="2" t="inlineStr">
        <is>
          <t>web</t>
        </is>
      </c>
      <c r="C38" s="2" t="inlineStr">
        <is>
          <t>W1</t>
        </is>
      </c>
      <c r="D38" s="2" t="inlineStr">
        <is>
          <t>succeeded</t>
        </is>
      </c>
      <c r="E38" s="2" t="n">
        <v>17</v>
      </c>
      <c r="F38" s="2" t="n">
        <v>17</v>
      </c>
      <c r="G38" s="2" t="n">
        <v>0</v>
      </c>
      <c r="H38" s="2" t="n">
        <v>0</v>
      </c>
      <c r="I38" s="2" t="n">
        <v>17</v>
      </c>
      <c r="J38" s="2" t="n">
        <v>465</v>
      </c>
      <c r="K38" s="2" t="n">
        <v>616</v>
      </c>
      <c r="L38" s="2" t="n">
        <v>800</v>
      </c>
      <c r="M38" s="2" t="n">
        <v>96.3</v>
      </c>
      <c r="N38" s="2" t="n">
        <v>0</v>
      </c>
      <c r="O38" s="2" t="n">
        <v>0</v>
      </c>
      <c r="P38" s="2" t="n">
        <v>8</v>
      </c>
    </row>
    <row r="39">
      <c r="A39" s="2" t="inlineStr">
        <is>
          <t>A1</t>
        </is>
      </c>
      <c r="B39" s="2" t="inlineStr">
        <is>
          <t>web</t>
        </is>
      </c>
      <c r="C39" s="2" t="inlineStr">
        <is>
          <t>W2</t>
        </is>
      </c>
      <c r="D39" s="2" t="inlineStr">
        <is>
          <t>succeeded</t>
        </is>
      </c>
      <c r="E39" s="2" t="n">
        <v>10</v>
      </c>
      <c r="F39" s="2" t="n">
        <v>10</v>
      </c>
      <c r="G39" s="2" t="n">
        <v>0</v>
      </c>
      <c r="H39" s="2" t="n">
        <v>0</v>
      </c>
      <c r="I39" s="2" t="n">
        <v>10</v>
      </c>
      <c r="J39" s="2" t="n">
        <v>1459</v>
      </c>
      <c r="K39" s="2" t="n">
        <v>620</v>
      </c>
      <c r="L39" s="2" t="n">
        <v>800</v>
      </c>
      <c r="M39" s="2" t="n">
        <v>100</v>
      </c>
      <c r="N39" s="2" t="n">
        <v>134</v>
      </c>
      <c r="O39" s="2" t="n">
        <v>134</v>
      </c>
      <c r="P39" s="2" t="n">
        <v>24</v>
      </c>
    </row>
    <row r="40">
      <c r="A40" s="2" t="inlineStr">
        <is>
          <t>A1</t>
        </is>
      </c>
      <c r="B40" s="2" t="inlineStr">
        <is>
          <t>web</t>
        </is>
      </c>
      <c r="C40" s="2" t="inlineStr">
        <is>
          <t>W3</t>
        </is>
      </c>
      <c r="D40" s="2" t="inlineStr">
        <is>
          <t>succeeded</t>
        </is>
      </c>
      <c r="E40" s="2" t="n">
        <v>10</v>
      </c>
      <c r="F40" s="2" t="n">
        <v>10</v>
      </c>
      <c r="G40" s="2" t="n">
        <v>0</v>
      </c>
      <c r="H40" s="2" t="n">
        <v>0</v>
      </c>
      <c r="I40" s="2" t="n">
        <v>10</v>
      </c>
      <c r="J40" s="2" t="n">
        <v>58</v>
      </c>
      <c r="K40" s="2" t="n">
        <v>308.5</v>
      </c>
      <c r="L40" s="2" t="n">
        <v>716</v>
      </c>
      <c r="M40" s="2" t="n">
        <v>70.7</v>
      </c>
      <c r="N40" s="2" t="n">
        <v>8</v>
      </c>
      <c r="O40" s="2" t="n">
        <v>8</v>
      </c>
      <c r="P40" s="2" t="n">
        <v>9</v>
      </c>
    </row>
    <row r="41">
      <c r="A41" s="2" t="inlineStr">
        <is>
          <t>A1</t>
        </is>
      </c>
      <c r="B41" s="2" t="inlineStr">
        <is>
          <t>web</t>
        </is>
      </c>
      <c r="C41" s="2" t="inlineStr">
        <is>
          <t>W4</t>
        </is>
      </c>
      <c r="D41" s="2" t="inlineStr">
        <is>
          <t>succeeded</t>
        </is>
      </c>
      <c r="E41" s="2" t="n">
        <v>10</v>
      </c>
      <c r="F41" s="2" t="n">
        <v>10</v>
      </c>
      <c r="G41" s="2" t="n">
        <v>0</v>
      </c>
      <c r="H41" s="2" t="n">
        <v>0</v>
      </c>
      <c r="I41" s="2" t="n">
        <v>10</v>
      </c>
      <c r="J41" s="2" t="n">
        <v>399</v>
      </c>
      <c r="K41" s="2" t="n">
        <v>545</v>
      </c>
      <c r="L41" s="2" t="n">
        <v>796</v>
      </c>
      <c r="M41" s="2" t="n">
        <v>97.7</v>
      </c>
      <c r="N41" s="2" t="n">
        <v>14</v>
      </c>
      <c r="O41" s="2" t="n">
        <v>14</v>
      </c>
      <c r="P41" s="2" t="n">
        <v>18</v>
      </c>
    </row>
    <row r="42">
      <c r="A42" s="2" t="inlineStr">
        <is>
          <t>A2</t>
        </is>
      </c>
      <c r="B42" s="2" t="inlineStr">
        <is>
          <t>files</t>
        </is>
      </c>
      <c r="C42" s="2" t="inlineStr">
        <is>
          <t>F1</t>
        </is>
      </c>
      <c r="D42" s="2" t="inlineStr">
        <is>
          <t>succeeded</t>
        </is>
      </c>
      <c r="E42" s="2" t="n">
        <v>1</v>
      </c>
      <c r="F42" s="2" t="n">
        <v>1</v>
      </c>
      <c r="G42" s="2" t="n">
        <v>0</v>
      </c>
      <c r="H42" s="2" t="n">
        <v>0</v>
      </c>
      <c r="I42" s="2" t="n">
        <v>16</v>
      </c>
      <c r="J42" s="2" t="n">
        <v>159</v>
      </c>
      <c r="K42" s="2" t="n">
        <v>575</v>
      </c>
      <c r="L42" s="2" t="n">
        <v>795</v>
      </c>
      <c r="M42" s="2" t="n">
        <v>100</v>
      </c>
      <c r="N42" s="2" t="n">
        <v>6</v>
      </c>
      <c r="O42" s="2" t="n">
        <v>6</v>
      </c>
      <c r="P42" s="2" t="n">
        <v>4</v>
      </c>
    </row>
    <row r="43">
      <c r="A43" s="2" t="inlineStr">
        <is>
          <t>A2</t>
        </is>
      </c>
      <c r="B43" s="2" t="inlineStr">
        <is>
          <t>files</t>
        </is>
      </c>
      <c r="C43" s="2" t="inlineStr">
        <is>
          <t>F2</t>
        </is>
      </c>
      <c r="D43" s="2" t="inlineStr">
        <is>
          <t>succeeded</t>
        </is>
      </c>
      <c r="E43" s="2" t="n">
        <v>1</v>
      </c>
      <c r="F43" s="2" t="n">
        <v>1</v>
      </c>
      <c r="G43" s="2" t="n">
        <v>0</v>
      </c>
      <c r="H43" s="2" t="n">
        <v>0</v>
      </c>
      <c r="I43" s="2" t="n">
        <v>62</v>
      </c>
      <c r="J43" s="2" t="n">
        <v>455</v>
      </c>
      <c r="K43" s="2" t="n">
        <v>631</v>
      </c>
      <c r="L43" s="2" t="n">
        <v>800</v>
      </c>
      <c r="M43" s="2" t="n">
        <v>99.8</v>
      </c>
      <c r="N43" s="2" t="n">
        <v>10</v>
      </c>
      <c r="O43" s="2" t="n">
        <v>10</v>
      </c>
      <c r="P43" s="2" t="n">
        <v>8</v>
      </c>
    </row>
    <row r="44">
      <c r="A44" s="2" t="inlineStr">
        <is>
          <t>A2</t>
        </is>
      </c>
      <c r="B44" s="2" t="inlineStr">
        <is>
          <t>files</t>
        </is>
      </c>
      <c r="C44" s="2" t="inlineStr">
        <is>
          <t>F3</t>
        </is>
      </c>
      <c r="D44" s="2" t="inlineStr">
        <is>
          <t>succeeded</t>
        </is>
      </c>
      <c r="E44" s="2" t="n">
        <v>1</v>
      </c>
      <c r="F44" s="2" t="n">
        <v>1</v>
      </c>
      <c r="G44" s="2" t="n">
        <v>0</v>
      </c>
      <c r="H44" s="2" t="n">
        <v>0</v>
      </c>
      <c r="I44" s="2" t="n">
        <v>9</v>
      </c>
      <c r="J44" s="2" t="n">
        <v>23</v>
      </c>
      <c r="K44" s="2" t="n">
        <v>543</v>
      </c>
      <c r="L44" s="2" t="n">
        <v>799</v>
      </c>
      <c r="M44" s="2" t="n">
        <v>0</v>
      </c>
      <c r="N44" s="2" t="n">
        <v>0</v>
      </c>
      <c r="O44" s="2" t="n">
        <v>0</v>
      </c>
      <c r="P44" s="2" t="n">
        <v>1</v>
      </c>
    </row>
    <row r="45">
      <c r="A45" s="2" t="inlineStr">
        <is>
          <t>A2</t>
        </is>
      </c>
      <c r="B45" s="2" t="inlineStr">
        <is>
          <t>new</t>
        </is>
      </c>
      <c r="C45" s="2" t="inlineStr">
        <is>
          <t>F4</t>
        </is>
      </c>
      <c r="D45" s="2" t="inlineStr">
        <is>
          <t>succeeded</t>
        </is>
      </c>
      <c r="E45" s="2" t="n">
        <v>1</v>
      </c>
      <c r="F45" s="2" t="n">
        <v>1</v>
      </c>
      <c r="G45" s="2" t="n">
        <v>0</v>
      </c>
      <c r="H45" s="2" t="n">
        <v>0</v>
      </c>
      <c r="I45" s="2" t="n">
        <v>70</v>
      </c>
      <c r="J45" s="2" t="n">
        <v>899</v>
      </c>
      <c r="K45" s="2" t="n">
        <v>35</v>
      </c>
      <c r="L45" s="2" t="n">
        <v>800</v>
      </c>
      <c r="M45" s="2" t="n">
        <v>100</v>
      </c>
      <c r="N45" s="2" t="n">
        <v>106</v>
      </c>
      <c r="O45" s="2" t="n">
        <v>106</v>
      </c>
      <c r="P45" s="2" t="n">
        <v>327</v>
      </c>
    </row>
    <row r="46">
      <c r="A46" s="2" t="inlineStr">
        <is>
          <t>A2</t>
        </is>
      </c>
      <c r="B46" s="2" t="inlineStr">
        <is>
          <t>new</t>
        </is>
      </c>
      <c r="C46" s="2" t="inlineStr">
        <is>
          <t>F5</t>
        </is>
      </c>
      <c r="D46" s="2" t="inlineStr">
        <is>
          <t>succeeded</t>
        </is>
      </c>
      <c r="E46" s="2" t="n">
        <v>1</v>
      </c>
      <c r="F46" s="2" t="n">
        <v>1</v>
      </c>
      <c r="G46" s="2" t="n">
        <v>0</v>
      </c>
      <c r="H46" s="2" t="n">
        <v>0</v>
      </c>
      <c r="I46" s="2" t="n">
        <v>13</v>
      </c>
      <c r="J46" s="2" t="n">
        <v>55</v>
      </c>
      <c r="K46" s="2" t="n">
        <v>649</v>
      </c>
      <c r="L46" s="2" t="n">
        <v>800</v>
      </c>
      <c r="M46" s="2" t="n">
        <v>0</v>
      </c>
      <c r="N46" s="2" t="n">
        <v>0</v>
      </c>
      <c r="O46" s="2" t="n">
        <v>0</v>
      </c>
      <c r="P46" s="2" t="n">
        <v>0</v>
      </c>
    </row>
    <row r="47">
      <c r="A47" s="2" t="inlineStr">
        <is>
          <t>A2</t>
        </is>
      </c>
      <c r="B47" s="2" t="inlineStr">
        <is>
          <t>new</t>
        </is>
      </c>
      <c r="C47" s="2" t="inlineStr">
        <is>
          <t>F6</t>
        </is>
      </c>
      <c r="D47" s="2" t="inlineStr">
        <is>
          <t>succeeded</t>
        </is>
      </c>
      <c r="E47" s="2" t="n">
        <v>1</v>
      </c>
      <c r="F47" s="2" t="n">
        <v>1</v>
      </c>
      <c r="G47" s="2" t="n">
        <v>0</v>
      </c>
      <c r="H47" s="2" t="n">
        <v>0</v>
      </c>
      <c r="I47" s="2" t="n">
        <v>0</v>
      </c>
      <c r="J47" s="2" t="n">
        <v>61</v>
      </c>
      <c r="K47" s="2" t="n">
        <v>628</v>
      </c>
      <c r="L47" s="2" t="n">
        <v>780</v>
      </c>
      <c r="M47" s="2" t="n">
        <v>98.40000000000001</v>
      </c>
      <c r="N47" s="2" t="n">
        <v>42</v>
      </c>
      <c r="O47" s="2" t="n">
        <v>42</v>
      </c>
      <c r="P47" s="2" t="n">
        <v>3</v>
      </c>
    </row>
    <row r="48">
      <c r="A48" s="2" t="inlineStr">
        <is>
          <t>A2</t>
        </is>
      </c>
      <c r="B48" s="2" t="inlineStr">
        <is>
          <t>new</t>
        </is>
      </c>
      <c r="C48" s="2" t="inlineStr">
        <is>
          <t>F7</t>
        </is>
      </c>
      <c r="D48" s="2" t="inlineStr">
        <is>
          <t>succeeded</t>
        </is>
      </c>
      <c r="E48" s="2" t="n">
        <v>1</v>
      </c>
      <c r="F48" s="2" t="n">
        <v>1</v>
      </c>
      <c r="G48" s="2" t="n">
        <v>0</v>
      </c>
      <c r="H48" s="2" t="n">
        <v>0</v>
      </c>
      <c r="I48" s="2" t="n">
        <v>14</v>
      </c>
      <c r="J48" s="2" t="n">
        <v>15</v>
      </c>
      <c r="K48" s="2" t="n">
        <v>378</v>
      </c>
      <c r="L48" s="2" t="n">
        <v>785</v>
      </c>
      <c r="M48" s="2" t="n">
        <v>0</v>
      </c>
      <c r="N48" s="2" t="n">
        <v>2</v>
      </c>
      <c r="O48" s="2" t="n">
        <v>2</v>
      </c>
      <c r="P48" s="2" t="n">
        <v>5</v>
      </c>
    </row>
    <row r="49">
      <c r="A49" s="2" t="inlineStr">
        <is>
          <t>A3</t>
        </is>
      </c>
      <c r="B49" s="2" t="inlineStr">
        <is>
          <t>d2</t>
        </is>
      </c>
      <c r="C49" s="2" t="inlineStr">
        <is>
          <t>G1</t>
        </is>
      </c>
      <c r="D49" s="2" t="inlineStr">
        <is>
          <t>succeeded</t>
        </is>
      </c>
      <c r="E49" s="2" t="n">
        <v>1</v>
      </c>
      <c r="F49" s="2" t="n">
        <v>1</v>
      </c>
      <c r="G49" s="2" t="n">
        <v>0</v>
      </c>
      <c r="H49" s="2" t="n">
        <v>0</v>
      </c>
      <c r="I49" s="2" t="n">
        <v>5</v>
      </c>
      <c r="J49" s="2" t="n">
        <v>57</v>
      </c>
      <c r="K49" s="2" t="n">
        <v>590</v>
      </c>
      <c r="L49" s="2" t="n">
        <v>800</v>
      </c>
      <c r="M49" s="2" t="n">
        <v>82.5</v>
      </c>
      <c r="N49" s="2" t="n">
        <v>17</v>
      </c>
      <c r="O49" s="2" t="n">
        <v>17</v>
      </c>
      <c r="P49" s="2" t="n">
        <v>2</v>
      </c>
    </row>
    <row r="50">
      <c r="A50" s="2" t="inlineStr">
        <is>
          <t>A3</t>
        </is>
      </c>
      <c r="B50" s="2" t="inlineStr">
        <is>
          <t>d2</t>
        </is>
      </c>
      <c r="C50" s="2" t="inlineStr">
        <is>
          <t>G2</t>
        </is>
      </c>
      <c r="D50" s="2" t="inlineStr">
        <is>
          <t>succeeded</t>
        </is>
      </c>
      <c r="E50" s="2" t="n">
        <v>1</v>
      </c>
      <c r="F50" s="2" t="n">
        <v>1</v>
      </c>
      <c r="G50" s="2" t="n">
        <v>0</v>
      </c>
      <c r="H50" s="2" t="n">
        <v>0</v>
      </c>
      <c r="I50" s="2" t="n">
        <v>80</v>
      </c>
      <c r="J50" s="2" t="n">
        <v>466</v>
      </c>
      <c r="K50" s="2" t="n">
        <v>465</v>
      </c>
      <c r="L50" s="2" t="n">
        <v>798</v>
      </c>
      <c r="M50" s="2" t="n">
        <v>100</v>
      </c>
      <c r="N50" s="2" t="n">
        <v>19</v>
      </c>
      <c r="O50" s="2" t="n">
        <v>19</v>
      </c>
      <c r="P50" s="2" t="n">
        <v>45</v>
      </c>
    </row>
    <row r="51">
      <c r="A51" s="2" t="inlineStr">
        <is>
          <t>A3</t>
        </is>
      </c>
      <c r="B51" s="2" t="inlineStr">
        <is>
          <t>d2</t>
        </is>
      </c>
      <c r="C51" s="2" t="inlineStr">
        <is>
          <t>G3</t>
        </is>
      </c>
      <c r="D51" s="2" t="inlineStr">
        <is>
          <t>succeeded</t>
        </is>
      </c>
      <c r="E51" s="2" t="n">
        <v>1</v>
      </c>
      <c r="F51" s="2" t="n">
        <v>1</v>
      </c>
      <c r="G51" s="2" t="n">
        <v>0</v>
      </c>
      <c r="H51" s="2" t="n">
        <v>0</v>
      </c>
      <c r="I51" s="2" t="n">
        <v>20</v>
      </c>
      <c r="J51" s="2" t="n">
        <v>94</v>
      </c>
      <c r="K51" s="2" t="n">
        <v>404</v>
      </c>
      <c r="L51" s="2" t="n">
        <v>800</v>
      </c>
      <c r="M51" s="2" t="n">
        <v>98.90000000000001</v>
      </c>
      <c r="N51" s="2" t="n">
        <v>5</v>
      </c>
      <c r="O51" s="2" t="n">
        <v>5</v>
      </c>
      <c r="P51" s="2" t="n">
        <v>5</v>
      </c>
    </row>
    <row r="52">
      <c r="A52" s="2" t="inlineStr">
        <is>
          <t>A3</t>
        </is>
      </c>
      <c r="B52" s="2" t="inlineStr">
        <is>
          <t>d2</t>
        </is>
      </c>
      <c r="C52" s="2" t="inlineStr">
        <is>
          <t>G4</t>
        </is>
      </c>
      <c r="D52" s="2" t="inlineStr">
        <is>
          <t>succeeded</t>
        </is>
      </c>
      <c r="E52" s="2" t="n">
        <v>1</v>
      </c>
      <c r="F52" s="2" t="n">
        <v>1</v>
      </c>
      <c r="G52" s="2" t="n">
        <v>0</v>
      </c>
      <c r="H52" s="2" t="n">
        <v>0</v>
      </c>
      <c r="I52" s="2" t="n">
        <v>1</v>
      </c>
      <c r="J52" s="2" t="n">
        <v>3</v>
      </c>
      <c r="K52" s="2" t="n">
        <v>529</v>
      </c>
      <c r="L52" s="2" t="n">
        <v>665</v>
      </c>
      <c r="M52" s="2" t="n">
        <v>0</v>
      </c>
      <c r="N52" s="2" t="n">
        <v>0</v>
      </c>
      <c r="O52" s="2" t="n">
        <v>0</v>
      </c>
      <c r="P52" s="2" t="n">
        <v>0</v>
      </c>
    </row>
    <row r="53">
      <c r="A53" s="2" t="inlineStr">
        <is>
          <t>A3</t>
        </is>
      </c>
      <c r="B53" s="2" t="inlineStr">
        <is>
          <t>d2</t>
        </is>
      </c>
      <c r="C53" s="2" t="inlineStr">
        <is>
          <t>G5</t>
        </is>
      </c>
      <c r="D53" s="2" t="inlineStr">
        <is>
          <t>succeeded</t>
        </is>
      </c>
      <c r="E53" s="2" t="n">
        <v>1</v>
      </c>
      <c r="F53" s="2" t="n">
        <v>1</v>
      </c>
      <c r="G53" s="2" t="n">
        <v>0</v>
      </c>
      <c r="H53" s="2" t="n">
        <v>0</v>
      </c>
      <c r="I53" s="2" t="n">
        <v>27</v>
      </c>
      <c r="J53" s="2" t="n">
        <v>94</v>
      </c>
      <c r="K53" s="2" t="n">
        <v>715</v>
      </c>
      <c r="L53" s="2" t="n">
        <v>800</v>
      </c>
      <c r="M53" s="2" t="n">
        <v>0</v>
      </c>
      <c r="N53" s="2" t="n">
        <v>94</v>
      </c>
      <c r="O53" s="2" t="n">
        <v>94</v>
      </c>
      <c r="P53" s="2" t="n">
        <v>0</v>
      </c>
    </row>
    <row r="54">
      <c r="A54" s="2" t="inlineStr">
        <is>
          <t>A3</t>
        </is>
      </c>
      <c r="B54" s="2" t="inlineStr">
        <is>
          <t>d2</t>
        </is>
      </c>
      <c r="C54" s="2" t="inlineStr">
        <is>
          <t>G6</t>
        </is>
      </c>
      <c r="D54" s="2" t="inlineStr">
        <is>
          <t>succeeded</t>
        </is>
      </c>
      <c r="E54" s="2" t="n">
        <v>1</v>
      </c>
      <c r="F54" s="2" t="n">
        <v>1</v>
      </c>
      <c r="G54" s="2" t="n">
        <v>0</v>
      </c>
      <c r="H54" s="2" t="n">
        <v>0</v>
      </c>
      <c r="I54" s="2" t="n">
        <v>3</v>
      </c>
      <c r="J54" s="2" t="n">
        <v>8</v>
      </c>
      <c r="K54" s="2" t="n">
        <v>526.5</v>
      </c>
      <c r="L54" s="2" t="n">
        <v>646</v>
      </c>
      <c r="M54" s="2" t="n">
        <v>0</v>
      </c>
      <c r="N54" s="2" t="n">
        <v>5</v>
      </c>
      <c r="O54" s="2" t="n">
        <v>5</v>
      </c>
      <c r="P54" s="2" t="n">
        <v>0</v>
      </c>
    </row>
    <row r="55">
      <c r="A55" s="2" t="inlineStr">
        <is>
          <t>A3</t>
        </is>
      </c>
      <c r="B55" s="2" t="inlineStr">
        <is>
          <t>d2</t>
        </is>
      </c>
      <c r="C55" s="2" t="inlineStr">
        <is>
          <t>G7</t>
        </is>
      </c>
      <c r="D55" s="2" t="inlineStr">
        <is>
          <t>succeeded</t>
        </is>
      </c>
      <c r="E55" s="2" t="n">
        <v>1</v>
      </c>
      <c r="F55" s="2" t="n">
        <v>1</v>
      </c>
      <c r="G55" s="2" t="n">
        <v>0</v>
      </c>
      <c r="H55" s="2" t="n">
        <v>0</v>
      </c>
      <c r="I55" s="2" t="n">
        <v>0</v>
      </c>
      <c r="J55" s="2" t="n">
        <v>22</v>
      </c>
      <c r="K55" s="2" t="n">
        <v>555.5</v>
      </c>
      <c r="L55" s="2" t="n">
        <v>779</v>
      </c>
      <c r="M55" s="2" t="n">
        <v>100</v>
      </c>
      <c r="N55" s="2" t="n">
        <v>0</v>
      </c>
      <c r="O55" s="2" t="n">
        <v>0</v>
      </c>
      <c r="P55" s="2" t="n">
        <v>0</v>
      </c>
    </row>
    <row r="56">
      <c r="A56" s="2" t="inlineStr">
        <is>
          <t>A3</t>
        </is>
      </c>
      <c r="B56" s="2" t="inlineStr">
        <is>
          <t>d2</t>
        </is>
      </c>
      <c r="C56" s="2" t="inlineStr">
        <is>
          <t>G8</t>
        </is>
      </c>
      <c r="D56" s="2" t="inlineStr">
        <is>
          <t>succeeded</t>
        </is>
      </c>
      <c r="E56" s="2" t="n">
        <v>1</v>
      </c>
      <c r="F56" s="2" t="n">
        <v>1</v>
      </c>
      <c r="G56" s="2" t="n">
        <v>0</v>
      </c>
      <c r="H56" s="2" t="n">
        <v>0</v>
      </c>
      <c r="I56" s="2" t="n">
        <v>14</v>
      </c>
      <c r="J56" s="2" t="n">
        <v>100</v>
      </c>
      <c r="K56" s="2" t="n">
        <v>598</v>
      </c>
      <c r="L56" s="2" t="n">
        <v>797</v>
      </c>
      <c r="M56" s="2" t="n">
        <v>99</v>
      </c>
      <c r="N56" s="2" t="n">
        <v>6</v>
      </c>
      <c r="O56" s="2" t="n">
        <v>6</v>
      </c>
      <c r="P56" s="2" t="n">
        <v>1</v>
      </c>
    </row>
    <row r="57">
      <c r="A57" s="2" t="inlineStr">
        <is>
          <t>A3</t>
        </is>
      </c>
      <c r="B57" s="2" t="inlineStr">
        <is>
          <t>files</t>
        </is>
      </c>
      <c r="C57" s="2" t="inlineStr">
        <is>
          <t>F1</t>
        </is>
      </c>
      <c r="D57" s="2" t="inlineStr">
        <is>
          <t>succeeded</t>
        </is>
      </c>
      <c r="E57" s="2" t="n">
        <v>1</v>
      </c>
      <c r="F57" s="2" t="n">
        <v>1</v>
      </c>
      <c r="G57" s="2" t="n">
        <v>0</v>
      </c>
      <c r="H57" s="2" t="n">
        <v>0</v>
      </c>
      <c r="I57" s="2" t="n">
        <v>16</v>
      </c>
      <c r="J57" s="2" t="n">
        <v>156</v>
      </c>
      <c r="K57" s="2" t="n">
        <v>572.5</v>
      </c>
      <c r="L57" s="2" t="n">
        <v>795</v>
      </c>
      <c r="M57" s="2" t="n">
        <v>100</v>
      </c>
      <c r="N57" s="2" t="n">
        <v>3</v>
      </c>
      <c r="O57" s="2" t="n">
        <v>3</v>
      </c>
      <c r="P57" s="2" t="n">
        <v>5</v>
      </c>
    </row>
    <row r="58">
      <c r="A58" s="2" t="inlineStr">
        <is>
          <t>A3</t>
        </is>
      </c>
      <c r="B58" s="2" t="inlineStr">
        <is>
          <t>files</t>
        </is>
      </c>
      <c r="C58" s="2" t="inlineStr">
        <is>
          <t>F2</t>
        </is>
      </c>
      <c r="D58" s="2" t="inlineStr">
        <is>
          <t>succeeded</t>
        </is>
      </c>
      <c r="E58" s="2" t="n">
        <v>1</v>
      </c>
      <c r="F58" s="2" t="n">
        <v>1</v>
      </c>
      <c r="G58" s="2" t="n">
        <v>0</v>
      </c>
      <c r="H58" s="2" t="n">
        <v>0</v>
      </c>
      <c r="I58" s="2" t="n">
        <v>62</v>
      </c>
      <c r="J58" s="2" t="n">
        <v>528</v>
      </c>
      <c r="K58" s="2" t="n">
        <v>667</v>
      </c>
      <c r="L58" s="2" t="n">
        <v>800</v>
      </c>
      <c r="M58" s="2" t="n">
        <v>99.8</v>
      </c>
      <c r="N58" s="2" t="n">
        <v>2</v>
      </c>
      <c r="O58" s="2" t="n">
        <v>2</v>
      </c>
      <c r="P58" s="2" t="n">
        <v>8</v>
      </c>
    </row>
    <row r="59">
      <c r="A59" s="2" t="inlineStr">
        <is>
          <t>A3</t>
        </is>
      </c>
      <c r="B59" s="2" t="inlineStr">
        <is>
          <t>files</t>
        </is>
      </c>
      <c r="C59" s="2" t="inlineStr">
        <is>
          <t>F3</t>
        </is>
      </c>
      <c r="D59" s="2" t="inlineStr">
        <is>
          <t>succeeded</t>
        </is>
      </c>
      <c r="E59" s="2" t="n">
        <v>1</v>
      </c>
      <c r="F59" s="2" t="n">
        <v>1</v>
      </c>
      <c r="G59" s="2" t="n">
        <v>0</v>
      </c>
      <c r="H59" s="2" t="n">
        <v>0</v>
      </c>
      <c r="I59" s="2" t="n">
        <v>9</v>
      </c>
      <c r="J59" s="2" t="n">
        <v>23</v>
      </c>
      <c r="K59" s="2" t="n">
        <v>543</v>
      </c>
      <c r="L59" s="2" t="n">
        <v>799</v>
      </c>
      <c r="M59" s="2" t="n">
        <v>0</v>
      </c>
      <c r="N59" s="2" t="n">
        <v>0</v>
      </c>
      <c r="O59" s="2" t="n">
        <v>0</v>
      </c>
      <c r="P59" s="2" t="n">
        <v>1</v>
      </c>
    </row>
    <row r="60">
      <c r="A60" s="2" t="inlineStr">
        <is>
          <t>A3</t>
        </is>
      </c>
      <c r="B60" s="2" t="inlineStr">
        <is>
          <t>new</t>
        </is>
      </c>
      <c r="C60" s="2" t="inlineStr">
        <is>
          <t>F4</t>
        </is>
      </c>
      <c r="D60" s="2" t="inlineStr">
        <is>
          <t>succeeded</t>
        </is>
      </c>
      <c r="E60" s="2" t="n">
        <v>1</v>
      </c>
      <c r="F60" s="2" t="n">
        <v>1</v>
      </c>
      <c r="G60" s="2" t="n">
        <v>0</v>
      </c>
      <c r="H60" s="2" t="n">
        <v>0</v>
      </c>
      <c r="I60" s="2" t="n">
        <v>70</v>
      </c>
      <c r="J60" s="2" t="n">
        <v>894</v>
      </c>
      <c r="K60" s="2" t="n">
        <v>24</v>
      </c>
      <c r="L60" s="2" t="n">
        <v>800</v>
      </c>
      <c r="M60" s="2" t="n">
        <v>100</v>
      </c>
      <c r="N60" s="2" t="n">
        <v>16</v>
      </c>
      <c r="O60" s="2" t="n">
        <v>16</v>
      </c>
      <c r="P60" s="2" t="n">
        <v>360</v>
      </c>
    </row>
    <row r="61">
      <c r="A61" s="2" t="inlineStr">
        <is>
          <t>A3</t>
        </is>
      </c>
      <c r="B61" s="2" t="inlineStr">
        <is>
          <t>new</t>
        </is>
      </c>
      <c r="C61" s="2" t="inlineStr">
        <is>
          <t>F5</t>
        </is>
      </c>
      <c r="D61" s="2" t="inlineStr">
        <is>
          <t>succeeded</t>
        </is>
      </c>
      <c r="E61" s="2" t="n">
        <v>1</v>
      </c>
      <c r="F61" s="2" t="n">
        <v>1</v>
      </c>
      <c r="G61" s="2" t="n">
        <v>0</v>
      </c>
      <c r="H61" s="2" t="n">
        <v>0</v>
      </c>
      <c r="I61" s="2" t="n">
        <v>13</v>
      </c>
      <c r="J61" s="2" t="n">
        <v>55</v>
      </c>
      <c r="K61" s="2" t="n">
        <v>649</v>
      </c>
      <c r="L61" s="2" t="n">
        <v>800</v>
      </c>
      <c r="M61" s="2" t="n">
        <v>0</v>
      </c>
      <c r="N61" s="2" t="n">
        <v>0</v>
      </c>
      <c r="O61" s="2" t="n">
        <v>0</v>
      </c>
      <c r="P61" s="2" t="n">
        <v>0</v>
      </c>
    </row>
    <row r="62">
      <c r="A62" s="2" t="inlineStr">
        <is>
          <t>A3</t>
        </is>
      </c>
      <c r="B62" s="2" t="inlineStr">
        <is>
          <t>new</t>
        </is>
      </c>
      <c r="C62" s="2" t="inlineStr">
        <is>
          <t>F6</t>
        </is>
      </c>
      <c r="D62" s="2" t="inlineStr">
        <is>
          <t>succeeded</t>
        </is>
      </c>
      <c r="E62" s="2" t="n">
        <v>1</v>
      </c>
      <c r="F62" s="2" t="n">
        <v>1</v>
      </c>
      <c r="G62" s="2" t="n">
        <v>0</v>
      </c>
      <c r="H62" s="2" t="n">
        <v>0</v>
      </c>
      <c r="I62" s="2" t="n">
        <v>0</v>
      </c>
      <c r="J62" s="2" t="n">
        <v>61</v>
      </c>
      <c r="K62" s="2" t="n">
        <v>628</v>
      </c>
      <c r="L62" s="2" t="n">
        <v>780</v>
      </c>
      <c r="M62" s="2" t="n">
        <v>98.40000000000001</v>
      </c>
      <c r="N62" s="2" t="n">
        <v>42</v>
      </c>
      <c r="O62" s="2" t="n">
        <v>42</v>
      </c>
      <c r="P62" s="2" t="n">
        <v>3</v>
      </c>
    </row>
    <row r="63">
      <c r="A63" s="2" t="inlineStr">
        <is>
          <t>A3</t>
        </is>
      </c>
      <c r="B63" s="2" t="inlineStr">
        <is>
          <t>new</t>
        </is>
      </c>
      <c r="C63" s="2" t="inlineStr">
        <is>
          <t>F7</t>
        </is>
      </c>
      <c r="D63" s="2" t="inlineStr">
        <is>
          <t>succeeded</t>
        </is>
      </c>
      <c r="E63" s="2" t="n">
        <v>1</v>
      </c>
      <c r="F63" s="2" t="n">
        <v>1</v>
      </c>
      <c r="G63" s="2" t="n">
        <v>0</v>
      </c>
      <c r="H63" s="2" t="n">
        <v>0</v>
      </c>
      <c r="I63" s="2" t="n">
        <v>14</v>
      </c>
      <c r="J63" s="2" t="n">
        <v>15</v>
      </c>
      <c r="K63" s="2" t="n">
        <v>378</v>
      </c>
      <c r="L63" s="2" t="n">
        <v>785</v>
      </c>
      <c r="M63" s="2" t="n">
        <v>0</v>
      </c>
      <c r="N63" s="2" t="n">
        <v>2</v>
      </c>
      <c r="O63" s="2" t="n">
        <v>2</v>
      </c>
      <c r="P63" s="2"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8" customWidth="1" min="3" max="3"/>
    <col width="44" customWidth="1" min="4" max="4"/>
    <col width="11" customWidth="1" min="5" max="5"/>
    <col width="26" customWidth="1" min="6" max="6"/>
    <col width="10" customWidth="1" min="7" max="7"/>
    <col width="8" customWidth="1" min="8" max="8"/>
    <col width="7" customWidth="1" min="9" max="9"/>
    <col width="7" customWidth="1" min="10" max="10"/>
    <col width="34" customWidth="1" min="11" max="11"/>
    <col width="30" customWidth="1" min="12" max="12"/>
    <col width="60" customWidth="1" min="13" max="13"/>
  </cols>
  <sheetData>
    <row r="1">
      <c r="A1" s="4" t="inlineStr">
        <is>
          <t>Round</t>
        </is>
      </c>
      <c r="B1" s="4" t="inlineStr">
        <is>
          <t>Source</t>
        </is>
      </c>
      <c r="C1" s="4" t="inlineStr">
        <is>
          <t>Question ID</t>
        </is>
      </c>
      <c r="D1" s="4" t="inlineStr">
        <is>
          <t>Question</t>
        </is>
      </c>
      <c r="E1" s="4" t="inlineStr">
        <is>
          <t>Kind</t>
        </is>
      </c>
      <c r="F1" s="4" t="inlineStr">
        <is>
          <t>Expected phrase(s)</t>
        </is>
      </c>
      <c r="G1" s="4" t="inlineStr">
        <is>
          <t>Index used (round)</t>
        </is>
      </c>
      <c r="H1" s="4" t="inlineStr">
        <is>
          <t>First hit rank</t>
        </is>
      </c>
      <c r="I1" s="4" t="inlineStr">
        <is>
          <t>Hit@1</t>
        </is>
      </c>
      <c r="J1" s="4" t="inlineStr">
        <is>
          <t>Hit@5</t>
        </is>
      </c>
      <c r="K1" s="4" t="inlineStr">
        <is>
          <t>Top result source</t>
        </is>
      </c>
      <c r="L1" s="4" t="inlineStr">
        <is>
          <t>Top result section</t>
        </is>
      </c>
      <c r="M1" s="4" t="inlineStr">
        <is>
          <t>Top result excerpt</t>
        </is>
      </c>
    </row>
    <row r="2">
      <c r="A2" s="2" t="inlineStr">
        <is>
          <t>R1</t>
        </is>
      </c>
      <c r="B2" s="2" t="inlineStr">
        <is>
          <t>W1</t>
        </is>
      </c>
      <c r="C2" s="2" t="inlineStr">
        <is>
          <t>w1-q1</t>
        </is>
      </c>
      <c r="D2" s="2" t="inlineStr">
        <is>
          <t>Which class does the Python tutorial recommend for implementing a queue?</t>
        </is>
      </c>
      <c r="E2" s="2" t="inlineStr">
        <is>
          <t>text</t>
        </is>
      </c>
      <c r="F2" s="2" t="inlineStr">
        <is>
          <t>collections.deque</t>
        </is>
      </c>
      <c r="G2" s="2" t="inlineStr">
        <is>
          <t>R1</t>
        </is>
      </c>
      <c r="H2" s="2" t="n">
        <v>2</v>
      </c>
      <c r="I2" s="2" t="inlineStr">
        <is>
          <t>no</t>
        </is>
      </c>
      <c r="J2" s="2" t="inlineStr">
        <is>
          <t>yes</t>
        </is>
      </c>
      <c r="K2" s="2" t="inlineStr">
        <is>
          <t>https://docs.python.org/3/tutorial/datastructures.html</t>
        </is>
      </c>
      <c r="L2" s="2" t="inlineStr">
        <is>
          <t>5. Data Structures ¶ &gt; 5.1. More on Lists ¶ &gt; 5.1.2. Using Lists as Queues ¶</t>
        </is>
      </c>
      <c r="M2" s="2" t="inlineStr">
        <is>
          <t xml:space="preserve">e which was designed to
have fast appends and pops from both ends.  For example:
&gt;&gt;&gt; from collections import deque
&gt;&gt;&gt; queue = deque(["Eric", "John", "Michael"])
&gt;&gt;&gt; queue.append("Terry")           # Terry arrives
&gt;&gt;&gt; queue.append("Graham")         </t>
        </is>
      </c>
    </row>
    <row r="3">
      <c r="A3" s="2" t="inlineStr">
        <is>
          <t>R1</t>
        </is>
      </c>
      <c r="B3" s="2" t="inlineStr">
        <is>
          <t>W1</t>
        </is>
      </c>
      <c r="C3" s="2" t="inlineStr">
        <is>
          <t>w1-q2</t>
        </is>
      </c>
      <c r="D3" s="2" t="inlineStr">
        <is>
          <t>In CPython 3.3, where is the compiled version of a module named spam.py cached?</t>
        </is>
      </c>
      <c r="E3" s="2" t="inlineStr">
        <is>
          <t>code</t>
        </is>
      </c>
      <c r="F3" s="2" t="inlineStr">
        <is>
          <t>spam.cpython-33.pyc</t>
        </is>
      </c>
      <c r="G3" s="2" t="inlineStr">
        <is>
          <t>R1</t>
        </is>
      </c>
      <c r="H3" s="2" t="n">
        <v>1</v>
      </c>
      <c r="I3" s="2" t="inlineStr">
        <is>
          <t>yes</t>
        </is>
      </c>
      <c r="J3" s="2" t="inlineStr">
        <is>
          <t>yes</t>
        </is>
      </c>
      <c r="K3" s="2" t="inlineStr">
        <is>
          <t>https://docs.python.org/3/tutorial/modules.html</t>
        </is>
      </c>
      <c r="L3" s="2" t="inlineStr">
        <is>
          <t>6. Modules ¶ &gt; 6.1. More on Modules ¶</t>
        </is>
      </c>
      <c r="M3" s="2" t="inlineStr">
        <is>
          <t>6.1.3. “Compiled” Python files ¶
To speed up loading modules, Python caches the compiled version of each module
in the __pycache__ directory under the name module.version.pyc,
where the version encodes the format of the compiled file; it generally c</t>
        </is>
      </c>
    </row>
    <row r="4">
      <c r="A4" s="2" t="inlineStr">
        <is>
          <t>R1</t>
        </is>
      </c>
      <c r="B4" s="2" t="inlineStr">
        <is>
          <t>W1</t>
        </is>
      </c>
      <c r="C4" s="2" t="inlineStr">
        <is>
          <t>w1-q3</t>
        </is>
      </c>
      <c r="D4" s="2" t="inlineStr">
        <is>
          <t>What command does the tutorial use to create a virtual environment called tutorial-env?</t>
        </is>
      </c>
      <c r="E4" s="2" t="inlineStr">
        <is>
          <t>code</t>
        </is>
      </c>
      <c r="F4" s="2" t="inlineStr">
        <is>
          <t>python -m venv tutorial-env</t>
        </is>
      </c>
      <c r="G4" s="2" t="inlineStr">
        <is>
          <t>R1</t>
        </is>
      </c>
      <c r="H4" s="2" t="n">
        <v>1</v>
      </c>
      <c r="I4" s="2" t="inlineStr">
        <is>
          <t>yes</t>
        </is>
      </c>
      <c r="J4" s="2" t="inlineStr">
        <is>
          <t>yes</t>
        </is>
      </c>
      <c r="K4" s="2" t="inlineStr">
        <is>
          <t>https://docs.python.org/3/tutorial/venv.html</t>
        </is>
      </c>
      <c r="L4" s="2" t="inlineStr">
        <is>
          <t>12. Virtual Environments and Packages ¶</t>
        </is>
      </c>
      <c r="M4" s="2" t="inlineStr">
        <is>
          <t>12.2. Creating Virtual Environments ¶
The module used to create and manage virtual environments is called
venv.  venv will install the Python version from which
the command was run (as reported by the --version option).
For instance, executing the c</t>
        </is>
      </c>
    </row>
    <row r="5">
      <c r="A5" s="2" t="inlineStr">
        <is>
          <t>R1</t>
        </is>
      </c>
      <c r="B5" s="2" t="inlineStr">
        <is>
          <t>W1</t>
        </is>
      </c>
      <c r="C5" s="2" t="inlineStr">
        <is>
          <t>w1-q4</t>
        </is>
      </c>
      <c r="D5" s="2" t="inlineStr">
        <is>
          <t>When is the else clause of a for loop executed?</t>
        </is>
      </c>
      <c r="E5" s="2" t="inlineStr">
        <is>
          <t>text</t>
        </is>
      </c>
      <c r="F5" s="2" t="inlineStr">
        <is>
          <t>if no break occurred</t>
        </is>
      </c>
      <c r="G5" s="2" t="inlineStr">
        <is>
          <t>R1</t>
        </is>
      </c>
      <c r="H5" s="2" t="n">
        <v>2</v>
      </c>
      <c r="I5" s="2" t="inlineStr">
        <is>
          <t>no</t>
        </is>
      </c>
      <c r="J5" s="2" t="inlineStr">
        <is>
          <t>yes</t>
        </is>
      </c>
      <c r="K5" s="2" t="inlineStr">
        <is>
          <t>https://docs.python.org/3/tutorial/controlflow.html</t>
        </is>
      </c>
      <c r="L5" s="2" t="inlineStr">
        <is>
          <t>4. More Control Flow Tools ¶ &gt; 4.5. else Clauses on Loops ¶</t>
        </is>
      </c>
      <c r="M5" s="2" t="inlineStr">
        <is>
          <t>.  Look closely: the else clause belongs to
the for loop, not the if statement.)
One way to think of the else clause is to imagine it paired with the if
inside the loop.  As the loop executes, it will run a sequence like
if/if/if/else. The if is ins</t>
        </is>
      </c>
    </row>
    <row r="6">
      <c r="A6" s="2" t="inlineStr">
        <is>
          <t>R1</t>
        </is>
      </c>
      <c r="B6" s="2" t="inlineStr">
        <is>
          <t>W1</t>
        </is>
      </c>
      <c r="C6" s="2" t="inlineStr">
        <is>
          <t>w1-q5</t>
        </is>
      </c>
      <c r="D6" s="2" t="inlineStr">
        <is>
          <t>What does the pass statement do?</t>
        </is>
      </c>
      <c r="E6" s="2" t="inlineStr">
        <is>
          <t>text</t>
        </is>
      </c>
      <c r="F6" s="2" t="inlineStr">
        <is>
          <t>the pass statement does nothing</t>
        </is>
      </c>
      <c r="G6" s="2" t="inlineStr">
        <is>
          <t>R1</t>
        </is>
      </c>
      <c r="H6" s="2" t="n">
        <v>1</v>
      </c>
      <c r="I6" s="2" t="inlineStr">
        <is>
          <t>yes</t>
        </is>
      </c>
      <c r="J6" s="2" t="inlineStr">
        <is>
          <t>yes</t>
        </is>
      </c>
      <c r="K6" s="2" t="inlineStr">
        <is>
          <t>https://docs.python.org/3/tutorial/controlflow.html</t>
        </is>
      </c>
      <c r="L6" s="2" t="inlineStr">
        <is>
          <t>4. More Control Flow Tools ¶</t>
        </is>
      </c>
      <c r="M6" s="2" t="inlineStr">
        <is>
          <t>4.6. pass Statements ¶
The pass statement does nothing. It can be used when a statement is
required syntactically but the program requires no action. For example:
&gt;&gt;&gt; while True:
...     pass  # Busy-wait for keyboard interrupt (Ctrl+C)
...
This i</t>
        </is>
      </c>
    </row>
    <row r="7">
      <c r="A7" s="2" t="inlineStr">
        <is>
          <t>R1</t>
        </is>
      </c>
      <c r="B7" s="2" t="inlineStr">
        <is>
          <t>W1</t>
        </is>
      </c>
      <c r="C7" s="2" t="inlineStr">
        <is>
          <t>w1-q6</t>
        </is>
      </c>
      <c r="D7" s="2" t="inlineStr">
        <is>
          <t>What does the list index() method return?</t>
        </is>
      </c>
      <c r="E7" s="2" t="inlineStr">
        <is>
          <t>list</t>
        </is>
      </c>
      <c r="F7" s="2" t="inlineStr">
        <is>
          <t>zero-based index of the first occurrence</t>
        </is>
      </c>
      <c r="G7" s="2" t="inlineStr">
        <is>
          <t>R1</t>
        </is>
      </c>
      <c r="H7" s="2" t="n">
        <v>3</v>
      </c>
      <c r="I7" s="2" t="inlineStr">
        <is>
          <t>no</t>
        </is>
      </c>
      <c r="J7" s="2" t="inlineStr">
        <is>
          <t>yes</t>
        </is>
      </c>
      <c r="K7" s="2" t="inlineStr">
        <is>
          <t>https://developer.mozilla.org/en-US/docs/Web/JavaScript/Reference/Global_Objects/Array</t>
        </is>
      </c>
      <c r="L7" s="2" t="inlineStr">
        <is>
          <t>Array &gt; Description &gt; Iterative methods</t>
        </is>
      </c>
      <c r="M7" s="2" t="inlineStr">
        <is>
          <t>Note the following:
Not all methods do the i in this test. The find, findIndex, findLast, and findLastIndex methods do not, but other methods do.
The length is memorized before the loop starts. This affects how insertions and deletions during itera</t>
        </is>
      </c>
    </row>
    <row r="8">
      <c r="A8" s="2" t="inlineStr">
        <is>
          <t>R1</t>
        </is>
      </c>
      <c r="B8" s="2" t="inlineStr">
        <is>
          <t>W1</t>
        </is>
      </c>
      <c r="C8" s="2" t="inlineStr">
        <is>
          <t>w1-q7</t>
        </is>
      </c>
      <c r="D8" s="2" t="inlineStr">
        <is>
          <t>What is the short name for formatted string literals?</t>
        </is>
      </c>
      <c r="E8" s="2" t="inlineStr">
        <is>
          <t>text</t>
        </is>
      </c>
      <c r="F8" s="2" t="inlineStr">
        <is>
          <t>also called f-strings</t>
        </is>
      </c>
      <c r="G8" s="2" t="inlineStr">
        <is>
          <t>R1</t>
        </is>
      </c>
      <c r="H8" s="2" t="n">
        <v>2</v>
      </c>
      <c r="I8" s="2" t="inlineStr">
        <is>
          <t>no</t>
        </is>
      </c>
      <c r="J8" s="2" t="inlineStr">
        <is>
          <t>yes</t>
        </is>
      </c>
      <c r="K8" s="2" t="inlineStr">
        <is>
          <t>https://docs.python.org/3/tutorial/inputoutput.html</t>
        </is>
      </c>
      <c r="L8" s="2" t="inlineStr">
        <is>
          <t>7. Input and Output ¶ &gt; 7.1. Fancier Output Formatting ¶ &gt; 7.1.1. Formatted String Literals ¶</t>
        </is>
      </c>
      <c r="M8" s="2" t="inlineStr">
        <is>
          <t>a minimum
number of characters wide.  This is useful for making columns line up.
&gt;&gt;&gt; table = {'Sjoerd': 4127, 'Jack': 4098, 'Dcab': 7678}
&gt;&gt;&gt; for name, phone in table.items():
...     print(f'{name:10} ==&gt; {phone:10d}')
...
Sjoerd     ==&gt;       4127</t>
        </is>
      </c>
    </row>
    <row r="9">
      <c r="A9" s="2" t="inlineStr">
        <is>
          <t>R1</t>
        </is>
      </c>
      <c r="B9" s="2" t="inlineStr">
        <is>
          <t>W1</t>
        </is>
      </c>
      <c r="C9" s="2" t="inlineStr">
        <is>
          <t>w1-q8</t>
        </is>
      </c>
      <c r="D9" s="2" t="inlineStr">
        <is>
          <t>On what date will Python 4.0 be released according to the tutorial?</t>
        </is>
      </c>
      <c r="E9" s="2" t="inlineStr">
        <is>
          <t>unanswerable</t>
        </is>
      </c>
      <c r="F9" s="2" t="inlineStr">
        <is>
          <t>(not in source)</t>
        </is>
      </c>
      <c r="G9" s="2" t="inlineStr">
        <is>
          <t>R1</t>
        </is>
      </c>
      <c r="H9" s="2" t="n"/>
      <c r="I9" s="2" t="inlineStr">
        <is>
          <t>n/a</t>
        </is>
      </c>
      <c r="J9" s="2" t="inlineStr">
        <is>
          <t>n/a</t>
        </is>
      </c>
      <c r="K9" s="2" t="inlineStr">
        <is>
          <t>https://en.wikipedia.org/wiki/Python_(programming_language)</t>
        </is>
      </c>
      <c r="L9" s="2" t="inlineStr">
        <is>
          <t>Python (programming language) &gt; References</t>
        </is>
      </c>
      <c r="M9" s="2" t="inlineStr">
        <is>
          <t>↑ "Python Developer's Guide – Python Developer's Guide". devguide.python.org. Archived from the original on 9 November 2020. Retrieved 17 December 2019.
↑ Hughes, Owen (24 May 2021). "Programming languages: Why Python 4.0 might never arrive, accordi</t>
        </is>
      </c>
    </row>
    <row r="10">
      <c r="A10" s="2" t="inlineStr">
        <is>
          <t>R1</t>
        </is>
      </c>
      <c r="B10" s="2" t="inlineStr">
        <is>
          <t>W2</t>
        </is>
      </c>
      <c r="C10" s="2" t="inlineStr">
        <is>
          <t>w2-q1</t>
        </is>
      </c>
      <c r="D10" s="2" t="inlineStr">
        <is>
          <t>What is the elevation of Mount Everest in metres?</t>
        </is>
      </c>
      <c r="E10" s="2" t="inlineStr">
        <is>
          <t>table</t>
        </is>
      </c>
      <c r="F10" s="2" t="inlineStr">
        <is>
          <t>8,848.86 m</t>
        </is>
      </c>
      <c r="G10" s="2" t="inlineStr">
        <is>
          <t>R1</t>
        </is>
      </c>
      <c r="H10" s="2" t="n">
        <v>2</v>
      </c>
      <c r="I10" s="2" t="inlineStr">
        <is>
          <t>no</t>
        </is>
      </c>
      <c r="J10" s="2" t="inlineStr">
        <is>
          <t>yes</t>
        </is>
      </c>
      <c r="K10" s="2" t="inlineStr">
        <is>
          <t>https://en.wikipedia.org/wiki/Mount_Everest</t>
        </is>
      </c>
      <c r="L10" s="2" t="inlineStr">
        <is>
          <t>Mount Everest &gt; Surveys</t>
        </is>
      </c>
      <c r="M10" s="2" t="inlineStr">
        <is>
          <t>21st century
On 9 October 2005, after several months of measurement and calculation, the Chinese Academy of Sciences and State Bureau of Surveying and Mapping announced the height of Everest as 8,844.43 m (29,017.16 ft) with accuracy of ±0.21 m (8.3</t>
        </is>
      </c>
    </row>
    <row r="11">
      <c r="A11" s="2" t="inlineStr">
        <is>
          <t>R1</t>
        </is>
      </c>
      <c r="B11" s="2" t="inlineStr">
        <is>
          <t>W2</t>
        </is>
      </c>
      <c r="C11" s="2" t="inlineStr">
        <is>
          <t>w2-q2</t>
        </is>
      </c>
      <c r="D11" s="2" t="inlineStr">
        <is>
          <t>How many individual reefs make up the Great Barrier Reef?</t>
        </is>
      </c>
      <c r="E11" s="2" t="inlineStr">
        <is>
          <t>text</t>
        </is>
      </c>
      <c r="F11" s="2" t="inlineStr">
        <is>
          <t>over 2,900 individual reefs</t>
        </is>
      </c>
      <c r="G11" s="2" t="inlineStr">
        <is>
          <t>R1</t>
        </is>
      </c>
      <c r="H11" s="2" t="n"/>
      <c r="I11" s="2" t="inlineStr">
        <is>
          <t>no</t>
        </is>
      </c>
      <c r="J11" s="2" t="inlineStr">
        <is>
          <t>no</t>
        </is>
      </c>
      <c r="K11" s="2" t="inlineStr">
        <is>
          <t>https://en.wikipedia.org/wiki/Great_Barrier_Reef</t>
        </is>
      </c>
      <c r="L11" s="2" t="inlineStr">
        <is>
          <t>Great Barrier Reef</t>
        </is>
      </c>
      <c r="M11" s="2" t="inlineStr">
        <is>
          <t xml:space="preserve"> The reef is located in the Coral Sea, off the coast of Queensland, Australia.  
It is separated from the coast by a channel 160 kilometres (100 mi) wide in places and over 61 metres (200 ft) deep.[7] The Great Barrier Reef can be seen from outer sp</t>
        </is>
      </c>
    </row>
    <row r="12">
      <c r="A12" s="2" t="inlineStr">
        <is>
          <t>R1</t>
        </is>
      </c>
      <c r="B12" s="2" t="inlineStr">
        <is>
          <t>W2</t>
        </is>
      </c>
      <c r="C12" s="2" t="inlineStr">
        <is>
          <t>w2-q3</t>
        </is>
      </c>
      <c r="D12" s="2" t="inlineStr">
        <is>
          <t>What is the average discharge of the Amazon River?</t>
        </is>
      </c>
      <c r="E12" s="2" t="inlineStr">
        <is>
          <t>text</t>
        </is>
      </c>
      <c r="F12" s="2" t="inlineStr">
        <is>
          <t>215,000 to 230,000 cubic meters per second</t>
        </is>
      </c>
      <c r="G12" s="2" t="inlineStr">
        <is>
          <t>R1</t>
        </is>
      </c>
      <c r="H12" s="2" t="n">
        <v>2</v>
      </c>
      <c r="I12" s="2" t="inlineStr">
        <is>
          <t>no</t>
        </is>
      </c>
      <c r="J12" s="2" t="inlineStr">
        <is>
          <t>yes</t>
        </is>
      </c>
      <c r="K12" s="2" t="inlineStr">
        <is>
          <t>https://en.wikipedia.org/wiki/Amazon_River</t>
        </is>
      </c>
      <c r="L12" s="2" t="inlineStr">
        <is>
          <t>Amazon River &gt; Discharge</t>
        </is>
      </c>
      <c r="M12" s="2" t="inlineStr">
        <is>
          <t>Average discharge at the estuary; Period from 2003 to 2015: 7,200 km3/a (230,000 m3/s)[80][81]
Year
(km3)
(m3/s)
Year
(km3)
(m3/s)
2003
6,470
205,000
2010
6,464
205,000
2004
6,747
214,000
2011
7,378
234,000
2005
6,522
207,000
20</t>
        </is>
      </c>
    </row>
    <row r="13">
      <c r="A13" s="2" t="inlineStr">
        <is>
          <t>R1</t>
        </is>
      </c>
      <c r="B13" s="2" t="inlineStr">
        <is>
          <t>W2</t>
        </is>
      </c>
      <c r="C13" s="2" t="inlineStr">
        <is>
          <t>w2-q4</t>
        </is>
      </c>
      <c r="D13" s="2" t="inlineStr">
        <is>
          <t>When was the euro introduced to world financial markets as an accounting currency?</t>
        </is>
      </c>
      <c r="E13" s="2" t="inlineStr">
        <is>
          <t>text</t>
        </is>
      </c>
      <c r="F13" s="2" t="inlineStr">
        <is>
          <t>1 january 1999</t>
        </is>
      </c>
      <c r="G13" s="2" t="inlineStr">
        <is>
          <t>R1</t>
        </is>
      </c>
      <c r="H13" s="2" t="n">
        <v>1</v>
      </c>
      <c r="I13" s="2" t="inlineStr">
        <is>
          <t>yes</t>
        </is>
      </c>
      <c r="J13" s="2" t="inlineStr">
        <is>
          <t>yes</t>
        </is>
      </c>
      <c r="K13" s="2" t="inlineStr">
        <is>
          <t>https://en.wikipedia.org/wiki/Euro</t>
        </is>
      </c>
      <c r="L13" s="2" t="inlineStr">
        <is>
          <t>Euro</t>
        </is>
      </c>
      <c r="M13" s="2" t="inlineStr">
        <is>
          <t xml:space="preserve">hest combined values of banknotes and coins in circulation in the world.[15][16]
The name euro was officially adopted on 16 December 1995 in Madrid.[17] The euro was introduced to world financial markets as an accounting currency on 1 January 1999, </t>
        </is>
      </c>
    </row>
    <row r="14">
      <c r="A14" s="2" t="inlineStr">
        <is>
          <t>R1</t>
        </is>
      </c>
      <c r="B14" s="2" t="inlineStr">
        <is>
          <t>W2</t>
        </is>
      </c>
      <c r="C14" s="2" t="inlineStr">
        <is>
          <t>w2-q5</t>
        </is>
      </c>
      <c r="D14" s="2" t="inlineStr">
        <is>
          <t>Who published the first generally accepted periodic table, and in what year?</t>
        </is>
      </c>
      <c r="E14" s="2" t="inlineStr">
        <is>
          <t>text</t>
        </is>
      </c>
      <c r="F14" s="2" t="inlineStr">
        <is>
          <t>dmitri mendeleev in 1869</t>
        </is>
      </c>
      <c r="G14" s="2" t="inlineStr">
        <is>
          <t>R1</t>
        </is>
      </c>
      <c r="H14" s="2" t="n">
        <v>1</v>
      </c>
      <c r="I14" s="2" t="inlineStr">
        <is>
          <t>yes</t>
        </is>
      </c>
      <c r="J14" s="2" t="inlineStr">
        <is>
          <t>yes</t>
        </is>
      </c>
      <c r="K14" s="2" t="inlineStr">
        <is>
          <t>https://en.wikipedia.org/wiki/Periodic_table</t>
        </is>
      </c>
      <c r="L14" s="2" t="inlineStr">
        <is>
          <t>Periodic table</t>
        </is>
      </c>
      <c r="M14" s="2" t="inlineStr">
        <is>
          <t>The first periodic table to become generally accepted was that of the Russian chemist Dmitri Mendeleev in 1869; he formulated the periodic law as a dependence of chemical properties on atomic mass. As not all elements were then known, there were gaps</t>
        </is>
      </c>
    </row>
    <row r="15">
      <c r="A15" s="2" t="inlineStr">
        <is>
          <t>R1</t>
        </is>
      </c>
      <c r="B15" s="2" t="inlineStr">
        <is>
          <t>W2</t>
        </is>
      </c>
      <c r="C15" s="2" t="inlineStr">
        <is>
          <t>w2-q6</t>
        </is>
      </c>
      <c r="D15" s="2" t="inlineStr">
        <is>
          <t>What is the Moon's average distance from Earth?</t>
        </is>
      </c>
      <c r="E15" s="2" t="inlineStr">
        <is>
          <t>text</t>
        </is>
      </c>
      <c r="F15" s="2" t="inlineStr">
        <is>
          <t>378,000 kilometers</t>
        </is>
      </c>
      <c r="G15" s="2" t="inlineStr">
        <is>
          <t>R1</t>
        </is>
      </c>
      <c r="H15" s="2" t="n"/>
      <c r="I15" s="2" t="inlineStr">
        <is>
          <t>no</t>
        </is>
      </c>
      <c r="J15" s="2" t="inlineStr">
        <is>
          <t>no</t>
        </is>
      </c>
      <c r="K15" s="2" t="inlineStr">
        <is>
          <t>https://en.wikipedia.org/wiki/Moon</t>
        </is>
      </c>
      <c r="L15" s="2" t="inlineStr">
        <is>
          <t>Moon &gt; Explanatory notes</t>
        </is>
      </c>
      <c r="M15" s="2" t="inlineStr">
        <is>
          <t xml:space="preserve">↑ The mean distance of the Moon from the Earth is 
        384401
    {\displaystyle 384401}
 km. The equatorial radius of Earth is 
        6.378136
        ⋅
          10
            </t>
        </is>
      </c>
    </row>
    <row r="16">
      <c r="A16" s="2" t="inlineStr">
        <is>
          <t>R1</t>
        </is>
      </c>
      <c r="B16" s="2" t="inlineStr">
        <is>
          <t>W2</t>
        </is>
      </c>
      <c r="C16" s="2" t="inlineStr">
        <is>
          <t>w2-q7</t>
        </is>
      </c>
      <c r="D16" s="2" t="inlineStr">
        <is>
          <t>When was Python 3.0 released?</t>
        </is>
      </c>
      <c r="E16" s="2" t="inlineStr">
        <is>
          <t>text</t>
        </is>
      </c>
      <c r="F16" s="2" t="inlineStr">
        <is>
          <t>python 3.0, released in 2008</t>
        </is>
      </c>
      <c r="G16" s="2" t="inlineStr">
        <is>
          <t>R1</t>
        </is>
      </c>
      <c r="H16" s="2" t="n">
        <v>2</v>
      </c>
      <c r="I16" s="2" t="inlineStr">
        <is>
          <t>no</t>
        </is>
      </c>
      <c r="J16" s="2" t="inlineStr">
        <is>
          <t>yes</t>
        </is>
      </c>
      <c r="K16" s="2" t="inlineStr">
        <is>
          <t>https://en.wikipedia.org/wiki/Python_(programming_language)</t>
        </is>
      </c>
      <c r="L16" s="2" t="inlineStr">
        <is>
          <t>Python (programming language) &gt; History</t>
        </is>
      </c>
      <c r="M16" s="2" t="inlineStr">
        <is>
          <t>12), with the plus signifying (at least some) "backported security updates".[56]
Python 3.0 was released on 3 December 2008, and was a major revision and not completely backward-compatible with earlier versions, with some new semantics and changed s</t>
        </is>
      </c>
    </row>
    <row r="17">
      <c r="A17" s="2" t="inlineStr">
        <is>
          <t>R1</t>
        </is>
      </c>
      <c r="B17" s="2" t="inlineStr">
        <is>
          <t>W2</t>
        </is>
      </c>
      <c r="C17" s="2" t="inlineStr">
        <is>
          <t>w2-q8</t>
        </is>
      </c>
      <c r="D17" s="2" t="inlineStr">
        <is>
          <t>Who won the men's downhill at the 2030 Winter Olympics?</t>
        </is>
      </c>
      <c r="E17" s="2" t="inlineStr">
        <is>
          <t>unanswerable</t>
        </is>
      </c>
      <c r="F17" s="2" t="inlineStr">
        <is>
          <t>(not in source)</t>
        </is>
      </c>
      <c r="G17" s="2" t="inlineStr">
        <is>
          <t>R1</t>
        </is>
      </c>
      <c r="H17" s="2" t="n"/>
      <c r="I17" s="2" t="inlineStr">
        <is>
          <t>n/a</t>
        </is>
      </c>
      <c r="J17" s="2" t="inlineStr">
        <is>
          <t>n/a</t>
        </is>
      </c>
      <c r="K17" s="2" t="inlineStr">
        <is>
          <t>https://en.wikipedia.org/wiki/Olympic_Games</t>
        </is>
      </c>
      <c r="L17" s="2" t="inlineStr">
        <is>
          <t>Olympic Games &gt; References</t>
        </is>
      </c>
      <c r="M17" s="2" t="inlineStr">
        <is>
          <t>↑ Mather, Victor (21 February 2018). "Desperately Seeking Skiers for a Budding Olympic Sport". The New York Times. Archived from the original on 11 March 2018. Retrieved 24 June 2018.
↑ "Men to compete in artistic swimming at Olympics for first time</t>
        </is>
      </c>
    </row>
    <row r="18">
      <c r="A18" s="2" t="inlineStr">
        <is>
          <t>R1</t>
        </is>
      </c>
      <c r="B18" s="2" t="inlineStr">
        <is>
          <t>W3</t>
        </is>
      </c>
      <c r="C18" s="2" t="inlineStr">
        <is>
          <t>w3-q1</t>
        </is>
      </c>
      <c r="D18" s="2" t="inlineStr">
        <is>
          <t>What was the minimum hourly wage for workers under 18 from April 2024 to March 2025?</t>
        </is>
      </c>
      <c r="E18" s="2" t="inlineStr">
        <is>
          <t>table</t>
        </is>
      </c>
      <c r="F18" s="2" t="inlineStr">
        <is>
          <t>£6.40</t>
        </is>
      </c>
      <c r="G18" s="2" t="inlineStr">
        <is>
          <t>R1</t>
        </is>
      </c>
      <c r="H18" s="2" t="n">
        <v>1</v>
      </c>
      <c r="I18" s="2" t="inlineStr">
        <is>
          <t>yes</t>
        </is>
      </c>
      <c r="J18" s="2" t="inlineStr">
        <is>
          <t>yes</t>
        </is>
      </c>
      <c r="K18" s="2" t="inlineStr">
        <is>
          <t>https://www.gov.uk/national-minimum-wage-rates</t>
        </is>
      </c>
      <c r="L18" s="2" t="inlineStr">
        <is>
          <t>National Minimum Wage and National Living Wage rates &gt; Previous rates</t>
        </is>
      </c>
      <c r="M18" s="2" t="inlineStr">
        <is>
          <t>Rates between 1 April 2024 and 31 March 2026
Since 1 April 2024 the National Living Wage has been for those aged 21 and over.
21 and over
18 to 20
Under 18
Apprentice
April 2025 to March 2026
£12.21
£10
£7.55
£7.55
April 2024 to March 2025</t>
        </is>
      </c>
    </row>
    <row r="19">
      <c r="A19" s="2" t="inlineStr">
        <is>
          <t>R1</t>
        </is>
      </c>
      <c r="B19" s="2" t="inlineStr">
        <is>
          <t>W3</t>
        </is>
      </c>
      <c r="C19" s="2" t="inlineStr">
        <is>
          <t>w3-q2</t>
        </is>
      </c>
      <c r="D19" s="2" t="inlineStr">
        <is>
          <t>Which taxable income band does the 40% higher rate of Income Tax cover?</t>
        </is>
      </c>
      <c r="E19" s="2" t="inlineStr">
        <is>
          <t>table</t>
        </is>
      </c>
      <c r="F19" s="2" t="inlineStr">
        <is>
          <t>£50,271 to £125,140</t>
        </is>
      </c>
      <c r="G19" s="2" t="inlineStr">
        <is>
          <t>R1</t>
        </is>
      </c>
      <c r="H19" s="2" t="n">
        <v>1</v>
      </c>
      <c r="I19" s="2" t="inlineStr">
        <is>
          <t>yes</t>
        </is>
      </c>
      <c r="J19" s="2" t="inlineStr">
        <is>
          <t>yes</t>
        </is>
      </c>
      <c r="K19" s="2" t="inlineStr">
        <is>
          <t>https://www.gov.uk/income-tax-rates</t>
        </is>
      </c>
      <c r="L19" s="2" t="inlineStr">
        <is>
          <t>Current rates and allowances</t>
        </is>
      </c>
      <c r="M19" s="2" t="inlineStr">
        <is>
          <t>Income Tax rates and bands
The table shows the tax rates you pay in each band if you have a standard Personal Allowance of £12,570.
Income tax bands are different if you live in Scotland.
Band
Taxable income
Tax rate
Personal Allowance
Up to £</t>
        </is>
      </c>
    </row>
    <row r="20">
      <c r="A20" s="2" t="inlineStr">
        <is>
          <t>R1</t>
        </is>
      </c>
      <c r="B20" s="2" t="inlineStr">
        <is>
          <t>W3</t>
        </is>
      </c>
      <c r="C20" s="2" t="inlineStr">
        <is>
          <t>w3-q3</t>
        </is>
      </c>
      <c r="D20" s="2" t="inlineStr">
        <is>
          <t>How much Statutory Sick Pay can you get per week?</t>
        </is>
      </c>
      <c r="E20" s="2" t="inlineStr">
        <is>
          <t>text</t>
        </is>
      </c>
      <c r="F20" s="2" t="inlineStr">
        <is>
          <t>£123.25</t>
        </is>
      </c>
      <c r="G20" s="2" t="inlineStr">
        <is>
          <t>R1</t>
        </is>
      </c>
      <c r="H20" s="2" t="n">
        <v>1</v>
      </c>
      <c r="I20" s="2" t="inlineStr">
        <is>
          <t>yes</t>
        </is>
      </c>
      <c r="J20" s="2" t="inlineStr">
        <is>
          <t>yes</t>
        </is>
      </c>
      <c r="K20" s="2" t="inlineStr">
        <is>
          <t>https://www.gov.uk/statutory-sick-pay</t>
        </is>
      </c>
      <c r="L20" s="2" t="inlineStr"/>
      <c r="M20" s="2" t="inlineStr">
        <is>
          <t xml:space="preserve">Overview
You can get up to £123.25 per week Statutory Sick Pay (SSP) if you’re too ill to work. It’s paid by your employer for up to 28 weeks.
This guide is also available in Welsh (Cymraeg).
You cannot get less than the statutory amount. You can </t>
        </is>
      </c>
    </row>
    <row r="21">
      <c r="A21" s="2" t="inlineStr">
        <is>
          <t>R1</t>
        </is>
      </c>
      <c r="B21" s="2" t="inlineStr">
        <is>
          <t>W3</t>
        </is>
      </c>
      <c r="C21" s="2" t="inlineStr">
        <is>
          <t>w3-q4</t>
        </is>
      </c>
      <c r="D21" s="2" t="inlineStr">
        <is>
          <t>How many days of paid annual leave must a worker on a 5-day week receive?</t>
        </is>
      </c>
      <c r="E21" s="2" t="inlineStr">
        <is>
          <t>text</t>
        </is>
      </c>
      <c r="F21" s="2" t="inlineStr">
        <is>
          <t>at least 28 days</t>
        </is>
      </c>
      <c r="G21" s="2" t="inlineStr">
        <is>
          <t>R1</t>
        </is>
      </c>
      <c r="H21" s="2" t="n">
        <v>1</v>
      </c>
      <c r="I21" s="2" t="inlineStr">
        <is>
          <t>yes</t>
        </is>
      </c>
      <c r="J21" s="2" t="inlineStr">
        <is>
          <t>yes</t>
        </is>
      </c>
      <c r="K21" s="2" t="inlineStr">
        <is>
          <t>https://www.gov.uk/holiday-entitlement-rights</t>
        </is>
      </c>
      <c r="L21" s="2" t="inlineStr">
        <is>
          <t>Entitlement</t>
        </is>
      </c>
      <c r="M21" s="2" t="inlineStr">
        <is>
          <t>Statutory annual leave entitlement
Most workers who work a 5-day week must receive at least 28 days’ paid annual leave a year. This is the equivalent of 5.6 weeks of holiday.</t>
        </is>
      </c>
    </row>
    <row r="22">
      <c r="A22" s="2" t="inlineStr">
        <is>
          <t>R1</t>
        </is>
      </c>
      <c r="B22" s="2" t="inlineStr">
        <is>
          <t>W3</t>
        </is>
      </c>
      <c r="C22" s="2" t="inlineStr">
        <is>
          <t>w3-q5</t>
        </is>
      </c>
      <c r="D22" s="2" t="inlineStr">
        <is>
          <t>How long must you have worked for your employer to qualify for statutory redundancy pay?</t>
        </is>
      </c>
      <c r="E22" s="2" t="inlineStr">
        <is>
          <t>text</t>
        </is>
      </c>
      <c r="F22" s="2" t="inlineStr">
        <is>
          <t>at least 2 years</t>
        </is>
      </c>
      <c r="G22" s="2" t="inlineStr">
        <is>
          <t>R1</t>
        </is>
      </c>
      <c r="H22" s="2" t="n">
        <v>1</v>
      </c>
      <c r="I22" s="2" t="inlineStr">
        <is>
          <t>yes</t>
        </is>
      </c>
      <c r="J22" s="2" t="inlineStr">
        <is>
          <t>yes</t>
        </is>
      </c>
      <c r="K22" s="2" t="inlineStr">
        <is>
          <t>https://www.gov.uk/calculate-your-redundancy-pay</t>
        </is>
      </c>
      <c r="L22" s="2" t="inlineStr"/>
      <c r="M22" s="2" t="inlineStr">
        <is>
          <t>Calculate your statutory redundancy pay
Calculate how much statutory redundancy you can get. It’s based on age, weekly pay and number of years in the job.
Your weekly pay is the average you earned per week over the 12 weeks before the day you got y</t>
        </is>
      </c>
    </row>
    <row r="23">
      <c r="A23" s="2" t="inlineStr">
        <is>
          <t>R1</t>
        </is>
      </c>
      <c r="B23" s="2" t="inlineStr">
        <is>
          <t>W3</t>
        </is>
      </c>
      <c r="C23" s="2" t="inlineStr">
        <is>
          <t>w3-q6</t>
        </is>
      </c>
      <c r="D23" s="2" t="inlineStr">
        <is>
          <t>What is the first vehicle tax payment for a petrol car emitting 111 to 130g/km of CO2?</t>
        </is>
      </c>
      <c r="E23" s="2" t="inlineStr">
        <is>
          <t>table</t>
        </is>
      </c>
      <c r="F23" s="2" t="inlineStr">
        <is>
          <t>111 to 130g/km + £455</t>
        </is>
      </c>
      <c r="G23" s="2" t="inlineStr">
        <is>
          <t>R1</t>
        </is>
      </c>
      <c r="H23" s="2" t="n">
        <v>2</v>
      </c>
      <c r="I23" s="2" t="inlineStr">
        <is>
          <t>no</t>
        </is>
      </c>
      <c r="J23" s="2" t="inlineStr">
        <is>
          <t>yes</t>
        </is>
      </c>
      <c r="K23" s="2" t="inlineStr">
        <is>
          <t>https://www.gov.uk/vehicle-tax-rate-tables</t>
        </is>
      </c>
      <c r="L23" s="2" t="inlineStr">
        <is>
          <t>Cars registered on or after 1 April 2017</t>
        </is>
      </c>
      <c r="M23" s="2" t="inlineStr">
        <is>
          <t>First tax payment when you register the vehicle
You’ll pay a rate based on a vehicle’s CO2 emissions the first time it’s registered.
This also applies to some motorhomes.
You have to pay a higher rate for diesel cars that do not meet the Real Driv</t>
        </is>
      </c>
    </row>
    <row r="24">
      <c r="A24" s="2" t="inlineStr">
        <is>
          <t>R1</t>
        </is>
      </c>
      <c r="B24" s="2" t="inlineStr">
        <is>
          <t>W3</t>
        </is>
      </c>
      <c r="C24" s="2" t="inlineStr">
        <is>
          <t>w3-q7</t>
        </is>
      </c>
      <c r="D24" s="2" t="inlineStr">
        <is>
          <t>From when can an employee make a request for flexible working?</t>
        </is>
      </c>
      <c r="E24" s="2" t="inlineStr">
        <is>
          <t>text</t>
        </is>
      </c>
      <c r="F24" s="2" t="inlineStr">
        <is>
          <t>from their first day in a job</t>
        </is>
      </c>
      <c r="G24" s="2" t="inlineStr">
        <is>
          <t>R1</t>
        </is>
      </c>
      <c r="H24" s="2" t="n">
        <v>1</v>
      </c>
      <c r="I24" s="2" t="inlineStr">
        <is>
          <t>yes</t>
        </is>
      </c>
      <c r="J24" s="2" t="inlineStr">
        <is>
          <t>yes</t>
        </is>
      </c>
      <c r="K24" s="2" t="inlineStr">
        <is>
          <t>https://www.gov.uk/flexible-working</t>
        </is>
      </c>
      <c r="L24" s="2" t="inlineStr"/>
      <c r="M24" s="2" t="inlineStr">
        <is>
          <t>Overview
Flexible working is a way of working that suits an employee’s needs, for example having flexible start and finish times, or working from home.
Flexible working rules are different in Northern Ireland.
All employees have the legal right to</t>
        </is>
      </c>
    </row>
    <row r="25">
      <c r="A25" s="2" t="inlineStr">
        <is>
          <t>R1</t>
        </is>
      </c>
      <c r="B25" s="2" t="inlineStr">
        <is>
          <t>W3</t>
        </is>
      </c>
      <c r="C25" s="2" t="inlineStr">
        <is>
          <t>w3-q8</t>
        </is>
      </c>
      <c r="D25" s="2" t="inlineStr">
        <is>
          <t>What is the weekly rate of Statutory Paternity Pay?</t>
        </is>
      </c>
      <c r="E25" s="2" t="inlineStr">
        <is>
          <t>unanswerable</t>
        </is>
      </c>
      <c r="F25" s="2" t="inlineStr">
        <is>
          <t>(not in source)</t>
        </is>
      </c>
      <c r="G25" s="2" t="inlineStr">
        <is>
          <t>R1</t>
        </is>
      </c>
      <c r="H25" s="2" t="n"/>
      <c r="I25" s="2" t="inlineStr">
        <is>
          <t>n/a</t>
        </is>
      </c>
      <c r="J25" s="2" t="inlineStr">
        <is>
          <t>n/a</t>
        </is>
      </c>
      <c r="K25" s="2" t="inlineStr">
        <is>
          <t>https://www.gov.uk/statutory-sick-pay</t>
        </is>
      </c>
      <c r="L25" s="2" t="inlineStr"/>
      <c r="M25" s="2" t="inlineStr">
        <is>
          <t>Statutory Sick Pay (SSP)</t>
        </is>
      </c>
    </row>
    <row r="26">
      <c r="A26" s="2" t="inlineStr">
        <is>
          <t>R1</t>
        </is>
      </c>
      <c r="B26" s="2" t="inlineStr">
        <is>
          <t>W4</t>
        </is>
      </c>
      <c r="C26" s="2" t="inlineStr">
        <is>
          <t>w4-q1</t>
        </is>
      </c>
      <c r="D26" s="2" t="inlineStr">
        <is>
          <t>What does HTTP status 418 I'm a teapot mean?</t>
        </is>
      </c>
      <c r="E26" s="2" t="inlineStr">
        <is>
          <t>list</t>
        </is>
      </c>
      <c r="F26" s="2" t="inlineStr">
        <is>
          <t>brew coffee with a teapot</t>
        </is>
      </c>
      <c r="G26" s="2" t="inlineStr">
        <is>
          <t>R1</t>
        </is>
      </c>
      <c r="H26" s="2" t="n">
        <v>1</v>
      </c>
      <c r="I26" s="2" t="inlineStr">
        <is>
          <t>yes</t>
        </is>
      </c>
      <c r="J26" s="2" t="inlineStr">
        <is>
          <t>yes</t>
        </is>
      </c>
      <c r="K26" s="2" t="inlineStr">
        <is>
          <t>https://developer.mozilla.org/en-US/docs/Web/HTTP/Reference/Status</t>
        </is>
      </c>
      <c r="L26" s="2" t="inlineStr">
        <is>
          <t>HTTP response status codes &gt; Client error responses</t>
        </is>
      </c>
      <c r="M26" s="2" t="inlineStr">
        <is>
          <t>ted data is not supported by the server, so the server is rejecting the request.
416 Range Not Satisfiable
The ranges specified by the Range header field in the request cannot be fulfilled.
It's possible that the range is outside the size of the ta</t>
        </is>
      </c>
    </row>
    <row r="27">
      <c r="A27" s="2" t="inlineStr">
        <is>
          <t>R1</t>
        </is>
      </c>
      <c r="B27" s="2" t="inlineStr">
        <is>
          <t>W4</t>
        </is>
      </c>
      <c r="C27" s="2" t="inlineStr">
        <is>
          <t>w4-q2</t>
        </is>
      </c>
      <c r="D27" s="2" t="inlineStr">
        <is>
          <t>What does HTTP status 429 mean?</t>
        </is>
      </c>
      <c r="E27" s="2" t="inlineStr">
        <is>
          <t>list</t>
        </is>
      </c>
      <c r="F27" s="2" t="inlineStr">
        <is>
          <t>too many requests in a given amount of time</t>
        </is>
      </c>
      <c r="G27" s="2" t="inlineStr">
        <is>
          <t>R1</t>
        </is>
      </c>
      <c r="H27" s="2" t="n">
        <v>1</v>
      </c>
      <c r="I27" s="2" t="inlineStr">
        <is>
          <t>yes</t>
        </is>
      </c>
      <c r="J27" s="2" t="inlineStr">
        <is>
          <t>yes</t>
        </is>
      </c>
      <c r="K27" s="2" t="inlineStr">
        <is>
          <t>https://developer.mozilla.org/en-US/docs/Web/HTTP/Reference/Status</t>
        </is>
      </c>
      <c r="L27" s="2" t="inlineStr">
        <is>
          <t>HTTP response status codes &gt; Client error responses</t>
        </is>
      </c>
      <c r="M27" s="2" t="inlineStr">
        <is>
          <t xml:space="preserve"> sends an Upgrade header in a 426 response to indicate the required protocol(s).
428 Precondition Required
The origin server requires the request to be conditional.
This response is intended to prevent the 'lost update' problem, where a client GETs</t>
        </is>
      </c>
    </row>
    <row r="28">
      <c r="A28" s="2" t="inlineStr">
        <is>
          <t>R1</t>
        </is>
      </c>
      <c r="B28" s="2" t="inlineStr">
        <is>
          <t>W4</t>
        </is>
      </c>
      <c r="C28" s="2" t="inlineStr">
        <is>
          <t>w4-q3</t>
        </is>
      </c>
      <c r="D28" s="2" t="inlineStr">
        <is>
          <t>How must multiple Cache-Control directives be separated?</t>
        </is>
      </c>
      <c r="E28" s="2" t="inlineStr">
        <is>
          <t>text</t>
        </is>
      </c>
      <c r="F28" s="2" t="inlineStr">
        <is>
          <t>must be comma-separated</t>
        </is>
      </c>
      <c r="G28" s="2" t="inlineStr">
        <is>
          <t>R1</t>
        </is>
      </c>
      <c r="H28" s="2" t="n">
        <v>1</v>
      </c>
      <c r="I28" s="2" t="inlineStr">
        <is>
          <t>yes</t>
        </is>
      </c>
      <c r="J28" s="2" t="inlineStr">
        <is>
          <t>yes</t>
        </is>
      </c>
      <c r="K28" s="2" t="inlineStr">
        <is>
          <t>https://developer.mozilla.org/en-US/docs/Web/HTTP/Reference/Headers/Cache-Control</t>
        </is>
      </c>
      <c r="L28" s="2" t="inlineStr">
        <is>
          <t>Cache-Control header</t>
        </is>
      </c>
      <c r="M28" s="2" t="inlineStr">
        <is>
          <t>Syntax
Cache-Control: &lt;directive&gt;, &lt;directive&gt;, ...
Cache directives follow these rules:
Caching directives are case-insensitive. However, lowercase is recommended because some implementations do not recognize uppercase directives.
Multiple direc</t>
        </is>
      </c>
    </row>
    <row r="29">
      <c r="A29" s="2" t="inlineStr">
        <is>
          <t>R1</t>
        </is>
      </c>
      <c r="B29" s="2" t="inlineStr">
        <is>
          <t>W4</t>
        </is>
      </c>
      <c r="C29" s="2" t="inlineStr">
        <is>
          <t>w4-q4</t>
        </is>
      </c>
      <c r="D29" s="2" t="inlineStr">
        <is>
          <t>What is a closure in JavaScript?</t>
        </is>
      </c>
      <c r="E29" s="2" t="inlineStr">
        <is>
          <t>text</t>
        </is>
      </c>
      <c r="F29" s="2" t="inlineStr">
        <is>
          <t>combination of a function bundled together</t>
        </is>
      </c>
      <c r="G29" s="2" t="inlineStr">
        <is>
          <t>R1</t>
        </is>
      </c>
      <c r="H29" s="2" t="n">
        <v>1</v>
      </c>
      <c r="I29" s="2" t="inlineStr">
        <is>
          <t>yes</t>
        </is>
      </c>
      <c r="J29" s="2" t="inlineStr">
        <is>
          <t>yes</t>
        </is>
      </c>
      <c r="K29" s="2" t="inlineStr">
        <is>
          <t>https://developer.mozilla.org/en-US/docs/Web/JavaScript/Guide/Closures</t>
        </is>
      </c>
      <c r="L29" s="2" t="inlineStr"/>
      <c r="M29" s="2" t="inlineStr">
        <is>
          <t>Closures
A closure is the combination of a function bundled together (enclosed) with references to its surrounding state (the lexical environment). In other words, a closure gives a function access to its outer scope. In JavaScript, closures are cre</t>
        </is>
      </c>
    </row>
    <row r="30">
      <c r="A30" s="2" t="inlineStr">
        <is>
          <t>R1</t>
        </is>
      </c>
      <c r="B30" s="2" t="inlineStr">
        <is>
          <t>W4</t>
        </is>
      </c>
      <c r="C30" s="2" t="inlineStr">
        <is>
          <t>w4-q5</t>
        </is>
      </c>
      <c r="D30" s="2" t="inlineStr">
        <is>
          <t>How many mandatory arguments does the fetch() method take?</t>
        </is>
      </c>
      <c r="E30" s="2" t="inlineStr">
        <is>
          <t>text</t>
        </is>
      </c>
      <c r="F30" s="2" t="inlineStr">
        <is>
          <t>one mandatory argument</t>
        </is>
      </c>
      <c r="G30" s="2" t="inlineStr">
        <is>
          <t>R1</t>
        </is>
      </c>
      <c r="H30" s="2" t="n">
        <v>2</v>
      </c>
      <c r="I30" s="2" t="inlineStr">
        <is>
          <t>no</t>
        </is>
      </c>
      <c r="J30" s="2" t="inlineStr">
        <is>
          <t>yes</t>
        </is>
      </c>
      <c r="K30" s="2" t="inlineStr">
        <is>
          <t>https://developer.mozilla.org/en-US/docs/Web/API/Fetch_API</t>
        </is>
      </c>
      <c r="L30" s="2" t="inlineStr">
        <is>
          <t>Fetch API &gt; Specifications</t>
        </is>
      </c>
      <c r="M30" s="2" t="inlineStr">
        <is>
          <t>Fetch# fetch-method
Fetch# deferred-fetch</t>
        </is>
      </c>
    </row>
    <row r="31">
      <c r="A31" s="2" t="inlineStr">
        <is>
          <t>R1</t>
        </is>
      </c>
      <c r="B31" s="2" t="inlineStr">
        <is>
          <t>W4</t>
        </is>
      </c>
      <c r="C31" s="2" t="inlineStr">
        <is>
          <t>w4-q6</t>
        </is>
      </c>
      <c r="D31" s="2" t="inlineStr">
        <is>
          <t>What does the HTTP QUERY method do?</t>
        </is>
      </c>
      <c r="E31" s="2" t="inlineStr">
        <is>
          <t>text</t>
        </is>
      </c>
      <c r="F31" s="2" t="inlineStr">
        <is>
          <t>the query method initiates a server-side query</t>
        </is>
      </c>
      <c r="G31" s="2" t="inlineStr">
        <is>
          <t>R1</t>
        </is>
      </c>
      <c r="H31" s="2" t="n">
        <v>2</v>
      </c>
      <c r="I31" s="2" t="inlineStr">
        <is>
          <t>no</t>
        </is>
      </c>
      <c r="J31" s="2" t="inlineStr">
        <is>
          <t>yes</t>
        </is>
      </c>
      <c r="K31" s="2" t="inlineStr">
        <is>
          <t>https://developer.mozilla.org/en-US/docs/Web/HTTP/Reference/Methods</t>
        </is>
      </c>
      <c r="L31" s="2" t="inlineStr"/>
      <c r="M31" s="2" t="inlineStr">
        <is>
          <t>HTTP request methods
HTTP defines a set of request methods to indicate the purpose of the request and what is expected if the request is successful.
Although they can also be nouns, these request methods are sometimes referred to as HTTP verbs.
Each</t>
        </is>
      </c>
    </row>
    <row r="32">
      <c r="A32" s="2" t="inlineStr">
        <is>
          <t>R1</t>
        </is>
      </c>
      <c r="B32" s="2" t="inlineStr">
        <is>
          <t>W4</t>
        </is>
      </c>
      <c r="C32" s="2" t="inlineStr">
        <is>
          <t>w4-q7</t>
        </is>
      </c>
      <c r="D32" s="2" t="inlineStr">
        <is>
          <t>In MDN's CORS preflight example, what value is sent in the Access-Control-Max-Age header?</t>
        </is>
      </c>
      <c r="E32" s="2" t="inlineStr">
        <is>
          <t>code</t>
        </is>
      </c>
      <c r="F32" s="2" t="inlineStr">
        <is>
          <t>access-control-max-age: 86400</t>
        </is>
      </c>
      <c r="G32" s="2" t="inlineStr">
        <is>
          <t>R1</t>
        </is>
      </c>
      <c r="H32" s="2" t="n"/>
      <c r="I32" s="2" t="inlineStr">
        <is>
          <t>no</t>
        </is>
      </c>
      <c r="J32" s="2" t="inlineStr">
        <is>
          <t>no</t>
        </is>
      </c>
      <c r="K32" s="2" t="inlineStr">
        <is>
          <t>https://developer.mozilla.org/en-US/docs/Web/HTTP/Guides/CORS</t>
        </is>
      </c>
      <c r="L32" s="2" t="inlineStr">
        <is>
          <t>Cross-Origin Resource Sharing (CORS) &gt; The HTTP response headers</t>
        </is>
      </c>
      <c r="M32" s="2" t="inlineStr">
        <is>
          <t xml:space="preserve">Access-Control-Max-Age
The Access-Control-Max-Age header indicates how long the results of a preflight request can be cached. For an example of a preflight request, see the above examples.
Access-Control-Max-Age: &lt;delta-seconds&gt;
The delta-seconds </t>
        </is>
      </c>
    </row>
    <row r="33">
      <c r="A33" s="2" t="inlineStr">
        <is>
          <t>R1</t>
        </is>
      </c>
      <c r="B33" s="2" t="inlineStr">
        <is>
          <t>W4</t>
        </is>
      </c>
      <c r="C33" s="2" t="inlineStr">
        <is>
          <t>w4-q8</t>
        </is>
      </c>
      <c r="D33" s="2" t="inlineStr">
        <is>
          <t>Which HTTP status code means Payment Accepted?</t>
        </is>
      </c>
      <c r="E33" s="2" t="inlineStr">
        <is>
          <t>unanswerable</t>
        </is>
      </c>
      <c r="F33" s="2" t="inlineStr">
        <is>
          <t>(not in source)</t>
        </is>
      </c>
      <c r="G33" s="2" t="inlineStr">
        <is>
          <t>R1</t>
        </is>
      </c>
      <c r="H33" s="2" t="n"/>
      <c r="I33" s="2" t="inlineStr">
        <is>
          <t>n/a</t>
        </is>
      </c>
      <c r="J33" s="2" t="inlineStr">
        <is>
          <t>n/a</t>
        </is>
      </c>
      <c r="K33" s="2" t="inlineStr">
        <is>
          <t>https://developer.mozilla.org/en-US/docs/Web/HTTP/Reference/Status</t>
        </is>
      </c>
      <c r="L33" s="2" t="inlineStr">
        <is>
          <t>HTTP response status codes &gt; Successful responses</t>
        </is>
      </c>
      <c r="M33" s="2" t="inlineStr">
        <is>
          <t xml:space="preserve">. This is typically the response sent after POST requests, or some PUT requests.
202 Accepted
The request has been received but not yet acted upon.
It is noncommittal, since there is no way in HTTP to later send an asynchronous response indicating </t>
        </is>
      </c>
    </row>
    <row r="34">
      <c r="A34" s="2" t="inlineStr">
        <is>
          <t>R1</t>
        </is>
      </c>
      <c r="B34" s="2" t="inlineStr">
        <is>
          <t>F1</t>
        </is>
      </c>
      <c r="C34" s="2" t="inlineStr">
        <is>
          <t>f1-q1</t>
        </is>
      </c>
      <c r="D34" s="2" t="inlineStr">
        <is>
          <t>What are the layer, hidden size and attention head settings of BERT-base?</t>
        </is>
      </c>
      <c r="E34" s="2" t="inlineStr">
        <is>
          <t>text</t>
        </is>
      </c>
      <c r="F34" s="2" t="inlineStr">
        <is>
          <t>l=12, h=768, a=12</t>
        </is>
      </c>
      <c r="G34" s="2" t="inlineStr">
        <is>
          <t>no index</t>
        </is>
      </c>
      <c r="H34" s="2" t="n"/>
      <c r="I34" s="2" t="inlineStr">
        <is>
          <t>no</t>
        </is>
      </c>
      <c r="J34" s="2" t="inlineStr">
        <is>
          <t>no</t>
        </is>
      </c>
      <c r="K34" s="2" t="n"/>
      <c r="L34" s="2" t="n"/>
      <c r="M34" s="2" t="inlineStr"/>
    </row>
    <row r="35">
      <c r="A35" s="2" t="inlineStr">
        <is>
          <t>R1</t>
        </is>
      </c>
      <c r="B35" s="2" t="inlineStr">
        <is>
          <t>F1</t>
        </is>
      </c>
      <c r="C35" s="2" t="inlineStr">
        <is>
          <t>f1-q2</t>
        </is>
      </c>
      <c r="D35" s="2" t="inlineStr">
        <is>
          <t>What percentage of WordPiece tokens does BERT mask during pre-training?</t>
        </is>
      </c>
      <c r="E35" s="2" t="inlineStr">
        <is>
          <t>text</t>
        </is>
      </c>
      <c r="F35" s="2" t="inlineStr">
        <is>
          <t>15% of all wordpiece</t>
        </is>
      </c>
      <c r="G35" s="2" t="inlineStr">
        <is>
          <t>no index</t>
        </is>
      </c>
      <c r="H35" s="2" t="n"/>
      <c r="I35" s="2" t="inlineStr">
        <is>
          <t>no</t>
        </is>
      </c>
      <c r="J35" s="2" t="inlineStr">
        <is>
          <t>no</t>
        </is>
      </c>
      <c r="K35" s="2" t="n"/>
      <c r="L35" s="2" t="n"/>
      <c r="M35" s="2" t="inlineStr"/>
    </row>
    <row r="36">
      <c r="A36" s="2" t="inlineStr">
        <is>
          <t>R1</t>
        </is>
      </c>
      <c r="B36" s="2" t="inlineStr">
        <is>
          <t>F1</t>
        </is>
      </c>
      <c r="C36" s="2" t="inlineStr">
        <is>
          <t>f1-q3</t>
        </is>
      </c>
      <c r="D36" s="2" t="inlineStr">
        <is>
          <t>What GLUE score did BERT reach?</t>
        </is>
      </c>
      <c r="E36" s="2" t="inlineStr">
        <is>
          <t>text</t>
        </is>
      </c>
      <c r="F36" s="2" t="inlineStr">
        <is>
          <t>glue score to 80.5%</t>
        </is>
      </c>
      <c r="G36" s="2" t="inlineStr">
        <is>
          <t>no index</t>
        </is>
      </c>
      <c r="H36" s="2" t="n"/>
      <c r="I36" s="2" t="inlineStr">
        <is>
          <t>no</t>
        </is>
      </c>
      <c r="J36" s="2" t="inlineStr">
        <is>
          <t>no</t>
        </is>
      </c>
      <c r="K36" s="2" t="n"/>
      <c r="L36" s="2" t="n"/>
      <c r="M36" s="2" t="inlineStr"/>
    </row>
    <row r="37">
      <c r="A37" s="2" t="inlineStr">
        <is>
          <t>R1</t>
        </is>
      </c>
      <c r="B37" s="2" t="inlineStr">
        <is>
          <t>F1</t>
        </is>
      </c>
      <c r="C37" s="2" t="inlineStr">
        <is>
          <t>f1-q4</t>
        </is>
      </c>
      <c r="D37" s="2" t="inlineStr">
        <is>
          <t>Which corpora were used to pre-train BERT?</t>
        </is>
      </c>
      <c r="E37" s="2" t="inlineStr">
        <is>
          <t>text</t>
        </is>
      </c>
      <c r="F37" s="2" t="inlineStr">
        <is>
          <t>bookscorpus (800m words)</t>
        </is>
      </c>
      <c r="G37" s="2" t="inlineStr">
        <is>
          <t>no index</t>
        </is>
      </c>
      <c r="H37" s="2" t="n"/>
      <c r="I37" s="2" t="inlineStr">
        <is>
          <t>no</t>
        </is>
      </c>
      <c r="J37" s="2" t="inlineStr">
        <is>
          <t>no</t>
        </is>
      </c>
      <c r="K37" s="2" t="n"/>
      <c r="L37" s="2" t="n"/>
      <c r="M37" s="2" t="inlineStr"/>
    </row>
    <row r="38">
      <c r="A38" s="2" t="inlineStr">
        <is>
          <t>R1</t>
        </is>
      </c>
      <c r="B38" s="2" t="inlineStr">
        <is>
          <t>F1</t>
        </is>
      </c>
      <c r="C38" s="2" t="inlineStr">
        <is>
          <t>f1-q5</t>
        </is>
      </c>
      <c r="D38" s="2" t="inlineStr">
        <is>
          <t>What SQuAD v1.1 Test F1 did BERT achieve?</t>
        </is>
      </c>
      <c r="E38" s="2" t="inlineStr">
        <is>
          <t>text</t>
        </is>
      </c>
      <c r="F38" s="2" t="inlineStr">
        <is>
          <t>93.2</t>
        </is>
      </c>
      <c r="G38" s="2" t="inlineStr">
        <is>
          <t>no index</t>
        </is>
      </c>
      <c r="H38" s="2" t="n"/>
      <c r="I38" s="2" t="inlineStr">
        <is>
          <t>no</t>
        </is>
      </c>
      <c r="J38" s="2" t="inlineStr">
        <is>
          <t>no</t>
        </is>
      </c>
      <c r="K38" s="2" t="n"/>
      <c r="L38" s="2" t="n"/>
      <c r="M38" s="2" t="inlineStr"/>
    </row>
    <row r="39">
      <c r="A39" s="2" t="inlineStr">
        <is>
          <t>R1</t>
        </is>
      </c>
      <c r="B39" s="2" t="inlineStr">
        <is>
          <t>F1</t>
        </is>
      </c>
      <c r="C39" s="2" t="inlineStr">
        <is>
          <t>f1-q6</t>
        </is>
      </c>
      <c r="D39" s="2" t="inlineStr">
        <is>
          <t>How many total parameters does BERT-large have?</t>
        </is>
      </c>
      <c r="E39" s="2" t="inlineStr">
        <is>
          <t>text</t>
        </is>
      </c>
      <c r="F39" s="2" t="inlineStr">
        <is>
          <t>total parameters=340m</t>
        </is>
      </c>
      <c r="G39" s="2" t="inlineStr">
        <is>
          <t>no index</t>
        </is>
      </c>
      <c r="H39" s="2" t="n"/>
      <c r="I39" s="2" t="inlineStr">
        <is>
          <t>no</t>
        </is>
      </c>
      <c r="J39" s="2" t="inlineStr">
        <is>
          <t>no</t>
        </is>
      </c>
      <c r="K39" s="2" t="n"/>
      <c r="L39" s="2" t="n"/>
      <c r="M39" s="2" t="inlineStr"/>
    </row>
    <row r="40">
      <c r="A40" s="2" t="inlineStr">
        <is>
          <t>R1</t>
        </is>
      </c>
      <c r="B40" s="2" t="inlineStr">
        <is>
          <t>F1</t>
        </is>
      </c>
      <c r="C40" s="2" t="inlineStr">
        <is>
          <t>f1-q7</t>
        </is>
      </c>
      <c r="D40" s="2" t="inlineStr">
        <is>
          <t>How many GPUs were used to train GPT-4?</t>
        </is>
      </c>
      <c r="E40" s="2" t="inlineStr">
        <is>
          <t>unanswerable</t>
        </is>
      </c>
      <c r="F40" s="2" t="inlineStr">
        <is>
          <t>(not in source)</t>
        </is>
      </c>
      <c r="G40" s="2" t="inlineStr">
        <is>
          <t>no index</t>
        </is>
      </c>
      <c r="H40" s="2" t="n"/>
      <c r="I40" s="2" t="inlineStr">
        <is>
          <t>n/a</t>
        </is>
      </c>
      <c r="J40" s="2" t="inlineStr">
        <is>
          <t>n/a</t>
        </is>
      </c>
      <c r="K40" s="2" t="n"/>
      <c r="L40" s="2" t="n"/>
      <c r="M40" s="2" t="inlineStr"/>
    </row>
    <row r="41">
      <c r="A41" s="2" t="inlineStr">
        <is>
          <t>R1</t>
        </is>
      </c>
      <c r="B41" s="2" t="inlineStr">
        <is>
          <t>F2</t>
        </is>
      </c>
      <c r="C41" s="2" t="inlineStr">
        <is>
          <t>f2-q1</t>
        </is>
      </c>
      <c r="D41" s="2" t="inlineStr">
        <is>
          <t>What was real median household income in the United States in 2022?</t>
        </is>
      </c>
      <c r="E41" s="2" t="inlineStr">
        <is>
          <t>text</t>
        </is>
      </c>
      <c r="F41" s="2" t="inlineStr">
        <is>
          <t>$74,580</t>
        </is>
      </c>
      <c r="G41" s="2" t="inlineStr">
        <is>
          <t>no index</t>
        </is>
      </c>
      <c r="H41" s="2" t="n"/>
      <c r="I41" s="2" t="inlineStr">
        <is>
          <t>no</t>
        </is>
      </c>
      <c r="J41" s="2" t="inlineStr">
        <is>
          <t>no</t>
        </is>
      </c>
      <c r="K41" s="2" t="n"/>
      <c r="L41" s="2" t="n"/>
      <c r="M41" s="2" t="inlineStr"/>
    </row>
    <row r="42">
      <c r="A42" s="2" t="inlineStr">
        <is>
          <t>R1</t>
        </is>
      </c>
      <c r="B42" s="2" t="inlineStr">
        <is>
          <t>F2</t>
        </is>
      </c>
      <c r="C42" s="2" t="inlineStr">
        <is>
          <t>f2-q2</t>
        </is>
      </c>
      <c r="D42" s="2" t="inlineStr">
        <is>
          <t>By how much did real median household income change between 2021 and 2022?</t>
        </is>
      </c>
      <c r="E42" s="2" t="inlineStr">
        <is>
          <t>text</t>
        </is>
      </c>
      <c r="F42" s="2" t="inlineStr">
        <is>
          <t>2.3 percent</t>
        </is>
      </c>
      <c r="G42" s="2" t="inlineStr">
        <is>
          <t>no index</t>
        </is>
      </c>
      <c r="H42" s="2" t="n"/>
      <c r="I42" s="2" t="inlineStr">
        <is>
          <t>no</t>
        </is>
      </c>
      <c r="J42" s="2" t="inlineStr">
        <is>
          <t>no</t>
        </is>
      </c>
      <c r="K42" s="2" t="n"/>
      <c r="L42" s="2" t="n"/>
      <c r="M42" s="2" t="inlineStr"/>
    </row>
    <row r="43">
      <c r="A43" s="2" t="inlineStr">
        <is>
          <t>R1</t>
        </is>
      </c>
      <c r="B43" s="2" t="inlineStr">
        <is>
          <t>F2</t>
        </is>
      </c>
      <c r="C43" s="2" t="inlineStr">
        <is>
          <t>f2-q3</t>
        </is>
      </c>
      <c r="D43" s="2" t="inlineStr">
        <is>
          <t>How did the money income Gini index change between 2021 and 2022?</t>
        </is>
      </c>
      <c r="E43" s="2" t="inlineStr">
        <is>
          <t>text</t>
        </is>
      </c>
      <c r="F43" s="2" t="inlineStr">
        <is>
          <t>from 0.494 to 0.488</t>
        </is>
      </c>
      <c r="G43" s="2" t="inlineStr">
        <is>
          <t>no index</t>
        </is>
      </c>
      <c r="H43" s="2" t="n"/>
      <c r="I43" s="2" t="inlineStr">
        <is>
          <t>no</t>
        </is>
      </c>
      <c r="J43" s="2" t="inlineStr">
        <is>
          <t>no</t>
        </is>
      </c>
      <c r="K43" s="2" t="n"/>
      <c r="L43" s="2" t="n"/>
      <c r="M43" s="2" t="inlineStr"/>
    </row>
    <row r="44">
      <c r="A44" s="2" t="inlineStr">
        <is>
          <t>R1</t>
        </is>
      </c>
      <c r="B44" s="2" t="inlineStr">
        <is>
          <t>F2</t>
        </is>
      </c>
      <c r="C44" s="2" t="inlineStr">
        <is>
          <t>f2-q4</t>
        </is>
      </c>
      <c r="D44" s="2" t="inlineStr">
        <is>
          <t>What was the median income of married-couple households in 2022 according to Table A-1?</t>
        </is>
      </c>
      <c r="E44" s="2" t="inlineStr">
        <is>
          <t>table</t>
        </is>
      </c>
      <c r="F44" s="2" t="inlineStr">
        <is>
          <t>married-couple + 110,800</t>
        </is>
      </c>
      <c r="G44" s="2" t="inlineStr">
        <is>
          <t>no index</t>
        </is>
      </c>
      <c r="H44" s="2" t="n"/>
      <c r="I44" s="2" t="inlineStr">
        <is>
          <t>no</t>
        </is>
      </c>
      <c r="J44" s="2" t="inlineStr">
        <is>
          <t>no</t>
        </is>
      </c>
      <c r="K44" s="2" t="n"/>
      <c r="L44" s="2" t="n"/>
      <c r="M44" s="2" t="inlineStr"/>
    </row>
    <row r="45">
      <c r="A45" s="2" t="inlineStr">
        <is>
          <t>R1</t>
        </is>
      </c>
      <c r="B45" s="2" t="inlineStr">
        <is>
          <t>F2</t>
        </is>
      </c>
      <c r="C45" s="2" t="inlineStr">
        <is>
          <t>f2-q5</t>
        </is>
      </c>
      <c r="D45" s="2" t="inlineStr">
        <is>
          <t>What was the median income of family households in 2022 according to Table A-1?</t>
        </is>
      </c>
      <c r="E45" s="2" t="inlineStr">
        <is>
          <t>table</t>
        </is>
      </c>
      <c r="F45" s="2" t="inlineStr">
        <is>
          <t>family households + 95,450</t>
        </is>
      </c>
      <c r="G45" s="2" t="inlineStr">
        <is>
          <t>no index</t>
        </is>
      </c>
      <c r="H45" s="2" t="n"/>
      <c r="I45" s="2" t="inlineStr">
        <is>
          <t>no</t>
        </is>
      </c>
      <c r="J45" s="2" t="inlineStr">
        <is>
          <t>no</t>
        </is>
      </c>
      <c r="K45" s="2" t="n"/>
      <c r="L45" s="2" t="n"/>
      <c r="M45" s="2" t="inlineStr"/>
    </row>
    <row r="46">
      <c r="A46" s="2" t="inlineStr">
        <is>
          <t>R1</t>
        </is>
      </c>
      <c r="B46" s="2" t="inlineStr">
        <is>
          <t>F2</t>
        </is>
      </c>
      <c r="C46" s="2" t="inlineStr">
        <is>
          <t>f2-q6</t>
        </is>
      </c>
      <c r="D46" s="2" t="inlineStr">
        <is>
          <t>What was the median income of nonfamily households in 2022 according to Table A-1?</t>
        </is>
      </c>
      <c r="E46" s="2" t="inlineStr">
        <is>
          <t>table</t>
        </is>
      </c>
      <c r="F46" s="2" t="inlineStr">
        <is>
          <t>nonfamily households + 45,440</t>
        </is>
      </c>
      <c r="G46" s="2" t="inlineStr">
        <is>
          <t>no index</t>
        </is>
      </c>
      <c r="H46" s="2" t="n"/>
      <c r="I46" s="2" t="inlineStr">
        <is>
          <t>no</t>
        </is>
      </c>
      <c r="J46" s="2" t="inlineStr">
        <is>
          <t>no</t>
        </is>
      </c>
      <c r="K46" s="2" t="n"/>
      <c r="L46" s="2" t="n"/>
      <c r="M46" s="2" t="inlineStr"/>
    </row>
    <row r="47">
      <c r="A47" s="2" t="inlineStr">
        <is>
          <t>R1</t>
        </is>
      </c>
      <c r="B47" s="2" t="inlineStr">
        <is>
          <t>F2</t>
        </is>
      </c>
      <c r="C47" s="2" t="inlineStr">
        <is>
          <t>f2-q7</t>
        </is>
      </c>
      <c r="D47" s="2" t="inlineStr">
        <is>
          <t>What was the median household income in Canada in 2022?</t>
        </is>
      </c>
      <c r="E47" s="2" t="inlineStr">
        <is>
          <t>unanswerable</t>
        </is>
      </c>
      <c r="F47" s="2" t="inlineStr">
        <is>
          <t>(not in source)</t>
        </is>
      </c>
      <c r="G47" s="2" t="inlineStr">
        <is>
          <t>no index</t>
        </is>
      </c>
      <c r="H47" s="2" t="n"/>
      <c r="I47" s="2" t="inlineStr">
        <is>
          <t>n/a</t>
        </is>
      </c>
      <c r="J47" s="2" t="inlineStr">
        <is>
          <t>n/a</t>
        </is>
      </c>
      <c r="K47" s="2" t="n"/>
      <c r="L47" s="2" t="n"/>
      <c r="M47" s="2" t="inlineStr"/>
    </row>
    <row r="48">
      <c r="A48" s="2" t="inlineStr">
        <is>
          <t>R1</t>
        </is>
      </c>
      <c r="B48" s="2" t="inlineStr">
        <is>
          <t>F3</t>
        </is>
      </c>
      <c r="C48" s="2" t="inlineStr">
        <is>
          <t>f3-q1</t>
        </is>
      </c>
      <c r="D48" s="2" t="inlineStr">
        <is>
          <t>How many television pictures does Part III of the Surveyor VI report present?</t>
        </is>
      </c>
      <c r="E48" s="2" t="inlineStr">
        <is>
          <t>ocr</t>
        </is>
      </c>
      <c r="F48" s="2" t="inlineStr">
        <is>
          <t>139 of the total number</t>
        </is>
      </c>
      <c r="G48" s="2" t="inlineStr">
        <is>
          <t>no index</t>
        </is>
      </c>
      <c r="H48" s="2" t="n"/>
      <c r="I48" s="2" t="inlineStr">
        <is>
          <t>no</t>
        </is>
      </c>
      <c r="J48" s="2" t="inlineStr">
        <is>
          <t>no</t>
        </is>
      </c>
      <c r="K48" s="2" t="n"/>
      <c r="L48" s="2" t="n"/>
      <c r="M48" s="2" t="inlineStr"/>
    </row>
    <row r="49">
      <c r="A49" s="2" t="inlineStr">
        <is>
          <t>R1</t>
        </is>
      </c>
      <c r="B49" s="2" t="inlineStr">
        <is>
          <t>F3</t>
        </is>
      </c>
      <c r="C49" s="2" t="inlineStr">
        <is>
          <t>f3-q2</t>
        </is>
      </c>
      <c r="D49" s="2" t="inlineStr">
        <is>
          <t>Between which dates were the Surveyor VI television pictures transmitted?</t>
        </is>
      </c>
      <c r="E49" s="2" t="inlineStr">
        <is>
          <t>ocr</t>
        </is>
      </c>
      <c r="F49" s="2" t="inlineStr">
        <is>
          <t>november 10 and november 24, 1967</t>
        </is>
      </c>
      <c r="G49" s="2" t="inlineStr">
        <is>
          <t>no index</t>
        </is>
      </c>
      <c r="H49" s="2" t="n"/>
      <c r="I49" s="2" t="inlineStr">
        <is>
          <t>no</t>
        </is>
      </c>
      <c r="J49" s="2" t="inlineStr">
        <is>
          <t>no</t>
        </is>
      </c>
      <c r="K49" s="2" t="n"/>
      <c r="L49" s="2" t="n"/>
      <c r="M49" s="2" t="inlineStr"/>
    </row>
    <row r="50">
      <c r="A50" s="2" t="inlineStr">
        <is>
          <t>R1</t>
        </is>
      </c>
      <c r="B50" s="2" t="inlineStr">
        <is>
          <t>F3</t>
        </is>
      </c>
      <c r="C50" s="2" t="inlineStr">
        <is>
          <t>f3-q3</t>
        </is>
      </c>
      <c r="D50" s="2" t="inlineStr">
        <is>
          <t>How many mosaics are included in Part III?</t>
        </is>
      </c>
      <c r="E50" s="2" t="inlineStr">
        <is>
          <t>ocr</t>
        </is>
      </c>
      <c r="F50" s="2" t="inlineStr">
        <is>
          <t>46 mosaics</t>
        </is>
      </c>
      <c r="G50" s="2" t="inlineStr">
        <is>
          <t>no index</t>
        </is>
      </c>
      <c r="H50" s="2" t="n"/>
      <c r="I50" s="2" t="inlineStr">
        <is>
          <t>no</t>
        </is>
      </c>
      <c r="J50" s="2" t="inlineStr">
        <is>
          <t>no</t>
        </is>
      </c>
      <c r="K50" s="2" t="n"/>
      <c r="L50" s="2" t="n"/>
      <c r="M50" s="2" t="inlineStr"/>
    </row>
    <row r="51">
      <c r="A51" s="2" t="inlineStr">
        <is>
          <t>R1</t>
        </is>
      </c>
      <c r="B51" s="2" t="inlineStr">
        <is>
          <t>F3</t>
        </is>
      </c>
      <c r="C51" s="2" t="inlineStr">
        <is>
          <t>f3-q4</t>
        </is>
      </c>
      <c r="D51" s="2" t="inlineStr">
        <is>
          <t>What is the mass of the Surveyor survey TV camera?</t>
        </is>
      </c>
      <c r="E51" s="2" t="inlineStr">
        <is>
          <t>ocr</t>
        </is>
      </c>
      <c r="F51" s="2" t="inlineStr">
        <is>
          <t>7.3-kg camera</t>
        </is>
      </c>
      <c r="G51" s="2" t="inlineStr">
        <is>
          <t>no index</t>
        </is>
      </c>
      <c r="H51" s="2" t="n"/>
      <c r="I51" s="2" t="inlineStr">
        <is>
          <t>no</t>
        </is>
      </c>
      <c r="J51" s="2" t="inlineStr">
        <is>
          <t>no</t>
        </is>
      </c>
      <c r="K51" s="2" t="n"/>
      <c r="L51" s="2" t="n"/>
      <c r="M51" s="2" t="inlineStr"/>
    </row>
    <row r="52">
      <c r="A52" s="2" t="inlineStr">
        <is>
          <t>R1</t>
        </is>
      </c>
      <c r="B52" s="2" t="inlineStr">
        <is>
          <t>F3</t>
        </is>
      </c>
      <c r="C52" s="2" t="inlineStr">
        <is>
          <t>f3-q5</t>
        </is>
      </c>
      <c r="D52" s="2" t="inlineStr">
        <is>
          <t>Over what range can the Surveyor TV camera focus?</t>
        </is>
      </c>
      <c r="E52" s="2" t="inlineStr">
        <is>
          <t>ocr</t>
        </is>
      </c>
      <c r="F52" s="2" t="inlineStr">
        <is>
          <t>1.22 m to infinity</t>
        </is>
      </c>
      <c r="G52" s="2" t="inlineStr">
        <is>
          <t>no index</t>
        </is>
      </c>
      <c r="H52" s="2" t="n"/>
      <c r="I52" s="2" t="inlineStr">
        <is>
          <t>no</t>
        </is>
      </c>
      <c r="J52" s="2" t="inlineStr">
        <is>
          <t>no</t>
        </is>
      </c>
      <c r="K52" s="2" t="n"/>
      <c r="L52" s="2" t="n"/>
      <c r="M52" s="2" t="inlineStr"/>
    </row>
    <row r="53">
      <c r="A53" s="2" t="inlineStr">
        <is>
          <t>R1</t>
        </is>
      </c>
      <c r="B53" s="2" t="inlineStr">
        <is>
          <t>F3</t>
        </is>
      </c>
      <c r="C53" s="2" t="inlineStr">
        <is>
          <t>f3-q6</t>
        </is>
      </c>
      <c r="D53" s="2" t="inlineStr">
        <is>
          <t>What scene luminance range is the Surveyor camera designed to accommodate?</t>
        </is>
      </c>
      <c r="E53" s="2" t="inlineStr">
        <is>
          <t>ocr</t>
        </is>
      </c>
      <c r="F53" s="2" t="inlineStr">
        <is>
          <t>0.008 to 2600 ft-l</t>
        </is>
      </c>
      <c r="G53" s="2" t="inlineStr">
        <is>
          <t>no index</t>
        </is>
      </c>
      <c r="H53" s="2" t="n"/>
      <c r="I53" s="2" t="inlineStr">
        <is>
          <t>no</t>
        </is>
      </c>
      <c r="J53" s="2" t="inlineStr">
        <is>
          <t>no</t>
        </is>
      </c>
      <c r="K53" s="2" t="n"/>
      <c r="L53" s="2" t="n"/>
      <c r="M53" s="2" t="inlineStr"/>
    </row>
    <row r="54">
      <c r="A54" s="2" t="inlineStr">
        <is>
          <t>R1</t>
        </is>
      </c>
      <c r="B54" s="2" t="inlineStr">
        <is>
          <t>F3</t>
        </is>
      </c>
      <c r="C54" s="2" t="inlineStr">
        <is>
          <t>f3-q7</t>
        </is>
      </c>
      <c r="D54" s="2" t="inlineStr">
        <is>
          <t>Which mission number in the Surveyor series was Surveyor VI?</t>
        </is>
      </c>
      <c r="E54" s="2" t="inlineStr">
        <is>
          <t>ocr</t>
        </is>
      </c>
      <c r="F54" s="2" t="inlineStr">
        <is>
          <t>the sixth in a series of unmanned lunar soft-landing missions</t>
        </is>
      </c>
      <c r="G54" s="2" t="inlineStr">
        <is>
          <t>no index</t>
        </is>
      </c>
      <c r="H54" s="2" t="n"/>
      <c r="I54" s="2" t="inlineStr">
        <is>
          <t>no</t>
        </is>
      </c>
      <c r="J54" s="2" t="inlineStr">
        <is>
          <t>no</t>
        </is>
      </c>
      <c r="K54" s="2" t="n"/>
      <c r="L54" s="2" t="n"/>
      <c r="M54" s="2" t="inlineStr"/>
    </row>
    <row r="55">
      <c r="A55" s="2" t="inlineStr">
        <is>
          <t>R1</t>
        </is>
      </c>
      <c r="B55" s="2" t="inlineStr">
        <is>
          <t>F3</t>
        </is>
      </c>
      <c r="C55" s="2" t="inlineStr">
        <is>
          <t>f3-q8</t>
        </is>
      </c>
      <c r="D55" s="2" t="inlineStr">
        <is>
          <t>What was the landing site latitude of Surveyor VII?</t>
        </is>
      </c>
      <c r="E55" s="2" t="inlineStr">
        <is>
          <t>unanswerable</t>
        </is>
      </c>
      <c r="F55" s="2" t="inlineStr">
        <is>
          <t>(not in source)</t>
        </is>
      </c>
      <c r="G55" s="2" t="inlineStr">
        <is>
          <t>no index</t>
        </is>
      </c>
      <c r="H55" s="2" t="n"/>
      <c r="I55" s="2" t="inlineStr">
        <is>
          <t>n/a</t>
        </is>
      </c>
      <c r="J55" s="2" t="inlineStr">
        <is>
          <t>n/a</t>
        </is>
      </c>
      <c r="K55" s="2" t="n"/>
      <c r="L55" s="2" t="n"/>
      <c r="M55" s="2" t="inlineStr"/>
    </row>
    <row r="56">
      <c r="A56" s="2" t="inlineStr">
        <is>
          <t>R1w</t>
        </is>
      </c>
      <c r="B56" s="2" t="inlineStr">
        <is>
          <t>F1</t>
        </is>
      </c>
      <c r="C56" s="2" t="inlineStr">
        <is>
          <t>f1-q1</t>
        </is>
      </c>
      <c r="D56" s="2" t="inlineStr">
        <is>
          <t>What are the layer, hidden size and attention head settings of BERT-base?</t>
        </is>
      </c>
      <c r="E56" s="2" t="inlineStr">
        <is>
          <t>text</t>
        </is>
      </c>
      <c r="F56" s="2" t="inlineStr">
        <is>
          <t>l=12, h=768, a=12</t>
        </is>
      </c>
      <c r="G56" s="2" t="inlineStr">
        <is>
          <t>R1w</t>
        </is>
      </c>
      <c r="H56" s="2" t="n">
        <v>2</v>
      </c>
      <c r="I56" s="2" t="inlineStr">
        <is>
          <t>no</t>
        </is>
      </c>
      <c r="J56" s="2" t="inlineStr">
        <is>
          <t>yes</t>
        </is>
      </c>
      <c r="K56" s="2" t="inlineStr">
        <is>
          <t>acl-n19-1423-bert.pdf</t>
        </is>
      </c>
      <c r="L56" s="2" t="inlineStr">
        <is>
          <t>Language Understanding &gt; 5 Ablation Studies &gt; 5.3 Feature-based Approach with BERT</t>
        </is>
      </c>
      <c r="M56" s="2" t="inlineStr">
        <is>
          <t xml:space="preserve">.99 84.4 86.7 92.9 12 1024 16 3.54 85.7 86.9 93.3 24 1024 16 3.23 86.6 87.8 93.7
Table 6:
Ablation over BERT model size. #L = the
number of layers; #H = hidden size; #A = number of attention heads. “LM (ppl)” is the masked LM perplexity
of held-out </t>
        </is>
      </c>
    </row>
    <row r="57">
      <c r="A57" s="2" t="inlineStr">
        <is>
          <t>R1w</t>
        </is>
      </c>
      <c r="B57" s="2" t="inlineStr">
        <is>
          <t>F1</t>
        </is>
      </c>
      <c r="C57" s="2" t="inlineStr">
        <is>
          <t>f1-q2</t>
        </is>
      </c>
      <c r="D57" s="2" t="inlineStr">
        <is>
          <t>What percentage of WordPiece tokens does BERT mask during pre-training?</t>
        </is>
      </c>
      <c r="E57" s="2" t="inlineStr">
        <is>
          <t>text</t>
        </is>
      </c>
      <c r="F57" s="2" t="inlineStr">
        <is>
          <t>15% of all wordpiece</t>
        </is>
      </c>
      <c r="G57" s="2" t="inlineStr">
        <is>
          <t>R1w</t>
        </is>
      </c>
      <c r="H57" s="2" t="n">
        <v>2</v>
      </c>
      <c r="I57" s="2" t="inlineStr">
        <is>
          <t>no</t>
        </is>
      </c>
      <c r="J57" s="2" t="inlineStr">
        <is>
          <t>yes</t>
        </is>
      </c>
      <c r="K57" s="2" t="inlineStr">
        <is>
          <t>acl-n19-1423-bert.pdf</t>
        </is>
      </c>
      <c r="L57" s="2" t="inlineStr">
        <is>
          <t>Language Understanding &gt; 3 BERT &gt; 3.1 Pre-training BERT</t>
        </is>
      </c>
      <c r="M57" s="2" t="inlineStr">
        <is>
          <t>), we only predict the masked words rather than reconstructing the entire input.
Although this allows us to obtain a bidirectional pre-trained model, a downside is that we are creating a mismatch between pre-training and ﬁne-tuning, since the [MASK]</t>
        </is>
      </c>
    </row>
    <row r="58">
      <c r="A58" s="2" t="inlineStr">
        <is>
          <t>R1w</t>
        </is>
      </c>
      <c r="B58" s="2" t="inlineStr">
        <is>
          <t>F1</t>
        </is>
      </c>
      <c r="C58" s="2" t="inlineStr">
        <is>
          <t>f1-q3</t>
        </is>
      </c>
      <c r="D58" s="2" t="inlineStr">
        <is>
          <t>What GLUE score did BERT reach?</t>
        </is>
      </c>
      <c r="E58" s="2" t="inlineStr">
        <is>
          <t>text</t>
        </is>
      </c>
      <c r="F58" s="2" t="inlineStr">
        <is>
          <t>glue score to 80.5%</t>
        </is>
      </c>
      <c r="G58" s="2" t="inlineStr">
        <is>
          <t>R1w</t>
        </is>
      </c>
      <c r="H58" s="2" t="n">
        <v>5</v>
      </c>
      <c r="I58" s="2" t="inlineStr">
        <is>
          <t>no</t>
        </is>
      </c>
      <c r="J58" s="2" t="inlineStr">
        <is>
          <t>yes</t>
        </is>
      </c>
      <c r="K58" s="2" t="inlineStr">
        <is>
          <t>acl-n19-1423-bert.pdf</t>
        </is>
      </c>
      <c r="L58" s="2" t="inlineStr">
        <is>
          <t>Language Understanding &gt; 4 Experiments &gt; 4.1 GLUE</t>
        </is>
      </c>
      <c r="M58" s="2" t="inlineStr">
        <is>
          <t xml:space="preserve"> 85.8 88.9 66.4 79.6 BERTLARGE 86.7/85.9 72.1 92.7 94.9 60.5 86.5 89.3 70.1 82.1
Table 1: GLUE Test results, scored by the evaluation server (https://gluebenchmark.com/leaderboard).
The number below each task denotes the number of training examples.</t>
        </is>
      </c>
    </row>
    <row r="59">
      <c r="A59" s="2" t="inlineStr">
        <is>
          <t>R1w</t>
        </is>
      </c>
      <c r="B59" s="2" t="inlineStr">
        <is>
          <t>F1</t>
        </is>
      </c>
      <c r="C59" s="2" t="inlineStr">
        <is>
          <t>f1-q4</t>
        </is>
      </c>
      <c r="D59" s="2" t="inlineStr">
        <is>
          <t>Which corpora were used to pre-train BERT?</t>
        </is>
      </c>
      <c r="E59" s="2" t="inlineStr">
        <is>
          <t>text</t>
        </is>
      </c>
      <c r="F59" s="2" t="inlineStr">
        <is>
          <t>bookscorpus (800m words)</t>
        </is>
      </c>
      <c r="G59" s="2" t="inlineStr">
        <is>
          <t>R1w</t>
        </is>
      </c>
      <c r="H59" s="2" t="n">
        <v>1</v>
      </c>
      <c r="I59" s="2" t="inlineStr">
        <is>
          <t>yes</t>
        </is>
      </c>
      <c r="J59" s="2" t="inlineStr">
        <is>
          <t>yes</t>
        </is>
      </c>
      <c r="K59" s="2" t="inlineStr">
        <is>
          <t>acl-n19-1423-bert.pdf</t>
        </is>
      </c>
      <c r="L59" s="2" t="inlineStr">
        <is>
          <t>Language Understanding &gt; 3 BERT &gt; 3.1 Pre-training BERT</t>
        </is>
      </c>
      <c r="M59" s="2" t="inlineStr">
        <is>
          <t xml:space="preserve">ks, where BERT transfers all parameters to initialize end-task model parameters.
Pre-training data The pre-training procedure largely follows the existing literature on language model pre-training. For the pre-training corpus we use the BooksCorpus </t>
        </is>
      </c>
    </row>
    <row r="60">
      <c r="A60" s="2" t="inlineStr">
        <is>
          <t>R1w</t>
        </is>
      </c>
      <c r="B60" s="2" t="inlineStr">
        <is>
          <t>F1</t>
        </is>
      </c>
      <c r="C60" s="2" t="inlineStr">
        <is>
          <t>f1-q5</t>
        </is>
      </c>
      <c r="D60" s="2" t="inlineStr">
        <is>
          <t>What SQuAD v1.1 Test F1 did BERT achieve?</t>
        </is>
      </c>
      <c r="E60" s="2" t="inlineStr">
        <is>
          <t>text</t>
        </is>
      </c>
      <c r="F60" s="2" t="inlineStr">
        <is>
          <t>93.2</t>
        </is>
      </c>
      <c r="G60" s="2" t="inlineStr">
        <is>
          <t>R1w</t>
        </is>
      </c>
      <c r="H60" s="2" t="n">
        <v>2</v>
      </c>
      <c r="I60" s="2" t="inlineStr">
        <is>
          <t>no</t>
        </is>
      </c>
      <c r="J60" s="2" t="inlineStr">
        <is>
          <t>yes</t>
        </is>
      </c>
      <c r="K60" s="2" t="inlineStr">
        <is>
          <t>acl-n19-1423-bert.pdf</t>
        </is>
      </c>
      <c r="L60" s="2" t="inlineStr">
        <is>
          <t>Language Understanding &gt; 4 Experiments &gt; 4.2 SQuAD v1.1</t>
        </is>
      </c>
      <c r="M60" s="2" t="inlineStr">
        <is>
          <t xml:space="preserve">rst ﬁne-tuning on TriviaQA (Joshi
et al., 2017) befor ﬁne-tuning on SQuAD.
Our best performing system outperforms the top leaderboard system by +1.5 F1 in ensembling and +1.3 F1 as a single system. In fact, our single BERT model outperforms the top </t>
        </is>
      </c>
    </row>
    <row r="61">
      <c r="A61" s="2" t="inlineStr">
        <is>
          <t>R1w</t>
        </is>
      </c>
      <c r="B61" s="2" t="inlineStr">
        <is>
          <t>F1</t>
        </is>
      </c>
      <c r="C61" s="2" t="inlineStr">
        <is>
          <t>f1-q6</t>
        </is>
      </c>
      <c r="D61" s="2" t="inlineStr">
        <is>
          <t>How many total parameters does BERT-large have?</t>
        </is>
      </c>
      <c r="E61" s="2" t="inlineStr">
        <is>
          <t>text</t>
        </is>
      </c>
      <c r="F61" s="2" t="inlineStr">
        <is>
          <t>total parameters=340m</t>
        </is>
      </c>
      <c r="G61" s="2" t="inlineStr">
        <is>
          <t>R1w</t>
        </is>
      </c>
      <c r="H61" s="2" t="n">
        <v>2</v>
      </c>
      <c r="I61" s="2" t="inlineStr">
        <is>
          <t>no</t>
        </is>
      </c>
      <c r="J61" s="2" t="inlineStr">
        <is>
          <t>yes</t>
        </is>
      </c>
      <c r="K61" s="2" t="inlineStr">
        <is>
          <t>acl-n19-1423-bert.pdf</t>
        </is>
      </c>
      <c r="L61" s="2" t="inlineStr">
        <is>
          <t>Language Understanding &gt; 5 Ablation Studies &gt; 5.2 Effect of Model Size</t>
        </is>
      </c>
      <c r="M61" s="2" t="inlineStr">
        <is>
          <t>e literature is (L=64, H=512, A=2) with 235M parameters (Al-Rfou et al., 2018). 
By contrast, BERTBASE contains 110M parameters and BERTLARGE contains 340M parameters.
It has long been known that increasing the model size will lead to continual imp</t>
        </is>
      </c>
    </row>
    <row r="62">
      <c r="A62" s="2" t="inlineStr">
        <is>
          <t>R1w</t>
        </is>
      </c>
      <c r="B62" s="2" t="inlineStr">
        <is>
          <t>F1</t>
        </is>
      </c>
      <c r="C62" s="2" t="inlineStr">
        <is>
          <t>f1-q7</t>
        </is>
      </c>
      <c r="D62" s="2" t="inlineStr">
        <is>
          <t>How many GPUs were used to train GPT-4?</t>
        </is>
      </c>
      <c r="E62" s="2" t="inlineStr">
        <is>
          <t>unanswerable</t>
        </is>
      </c>
      <c r="F62" s="2" t="inlineStr">
        <is>
          <t>(not in source)</t>
        </is>
      </c>
      <c r="G62" s="2" t="inlineStr">
        <is>
          <t>R1w</t>
        </is>
      </c>
      <c r="H62" s="2" t="n"/>
      <c r="I62" s="2" t="inlineStr">
        <is>
          <t>n/a</t>
        </is>
      </c>
      <c r="J62" s="2" t="inlineStr">
        <is>
          <t>n/a</t>
        </is>
      </c>
      <c r="K62" s="2" t="inlineStr">
        <is>
          <t>acl-n19-1423-bert.pdf</t>
        </is>
      </c>
      <c r="L62" s="2" t="inlineStr">
        <is>
          <t>Language Understanding &gt; 5 Ablation Studies &gt; 5.2 Effect of Model Size</t>
        </is>
      </c>
      <c r="M62" s="2" t="inlineStr">
        <is>
          <t>Results on selected GLUE tasks are shown in Table 6. In this table, we report the average Dev Set accuracy from 5 random restarts of ﬁne-tuning. We can see that larger models lead to a strict accuracy improvement across all four datasets, even for MR</t>
        </is>
      </c>
    </row>
    <row r="63">
      <c r="A63" s="2" t="inlineStr">
        <is>
          <t>R1w</t>
        </is>
      </c>
      <c r="B63" s="2" t="inlineStr">
        <is>
          <t>F2</t>
        </is>
      </c>
      <c r="C63" s="2" t="inlineStr">
        <is>
          <t>f2-q1</t>
        </is>
      </c>
      <c r="D63" s="2" t="inlineStr">
        <is>
          <t>What was real median household income in the United States in 2022?</t>
        </is>
      </c>
      <c r="E63" s="2" t="inlineStr">
        <is>
          <t>text</t>
        </is>
      </c>
      <c r="F63" s="2" t="inlineStr">
        <is>
          <t>$74,580</t>
        </is>
      </c>
      <c r="G63" s="2" t="inlineStr">
        <is>
          <t>R1w</t>
        </is>
      </c>
      <c r="H63" s="2" t="n">
        <v>1</v>
      </c>
      <c r="I63" s="2" t="inlineStr">
        <is>
          <t>yes</t>
        </is>
      </c>
      <c r="J63" s="2" t="inlineStr">
        <is>
          <t>yes</t>
        </is>
      </c>
      <c r="K63" s="2" t="inlineStr">
        <is>
          <t>census-p60-279.pdf</t>
        </is>
      </c>
      <c r="L63" s="2" t="inlineStr">
        <is>
          <t>Income in the United States: 2022 &gt; HOUSEHOLD INCOME BY SELECTED CHARACTERISTICS &gt; All Households</t>
        </is>
      </c>
      <c r="M63" s="2" t="inlineStr">
        <is>
          <t>All Households
Real median household income 
was $74,580 in 2022, 2.3 percent 
lower than the 2021 estimate of 
$76,330. It was 4.7 percent lower 
than the 2019 median, the year 
before the start of the COVID-19 
pandemic and the corresponding 
rece</t>
        </is>
      </c>
    </row>
    <row r="64">
      <c r="A64" s="2" t="inlineStr">
        <is>
          <t>R1w</t>
        </is>
      </c>
      <c r="B64" s="2" t="inlineStr">
        <is>
          <t>F2</t>
        </is>
      </c>
      <c r="C64" s="2" t="inlineStr">
        <is>
          <t>f2-q2</t>
        </is>
      </c>
      <c r="D64" s="2" t="inlineStr">
        <is>
          <t>By how much did real median household income change between 2021 and 2022?</t>
        </is>
      </c>
      <c r="E64" s="2" t="inlineStr">
        <is>
          <t>text</t>
        </is>
      </c>
      <c r="F64" s="2" t="inlineStr">
        <is>
          <t>2.3 percent</t>
        </is>
      </c>
      <c r="G64" s="2" t="inlineStr">
        <is>
          <t>R1w</t>
        </is>
      </c>
      <c r="H64" s="2" t="n">
        <v>2</v>
      </c>
      <c r="I64" s="2" t="inlineStr">
        <is>
          <t>no</t>
        </is>
      </c>
      <c r="J64" s="2" t="inlineStr">
        <is>
          <t>yes</t>
        </is>
      </c>
      <c r="K64" s="2" t="inlineStr">
        <is>
          <t>census-p60-279.pdf</t>
        </is>
      </c>
      <c r="L64" s="2" t="inlineStr">
        <is>
          <t>Income in the United States: 2022 &gt; HOUSEHOLD INCOME BY SELECTED CHARACTERISTICS &gt; Change: 2021 to 2022
2022 Median Income</t>
        </is>
      </c>
      <c r="M64" s="2" t="inlineStr">
        <is>
          <t>Change: 2021 to 2022
2022 Median Income</t>
        </is>
      </c>
    </row>
    <row r="65">
      <c r="A65" s="2" t="inlineStr">
        <is>
          <t>R1w</t>
        </is>
      </c>
      <c r="B65" s="2" t="inlineStr">
        <is>
          <t>F2</t>
        </is>
      </c>
      <c r="C65" s="2" t="inlineStr">
        <is>
          <t>f2-q3</t>
        </is>
      </c>
      <c r="D65" s="2" t="inlineStr">
        <is>
          <t>How did the money income Gini index change between 2021 and 2022?</t>
        </is>
      </c>
      <c r="E65" s="2" t="inlineStr">
        <is>
          <t>text</t>
        </is>
      </c>
      <c r="F65" s="2" t="inlineStr">
        <is>
          <t>from 0.494 to 0.488</t>
        </is>
      </c>
      <c r="G65" s="2" t="inlineStr">
        <is>
          <t>R1w</t>
        </is>
      </c>
      <c r="H65" s="2" t="n">
        <v>1</v>
      </c>
      <c r="I65" s="2" t="inlineStr">
        <is>
          <t>yes</t>
        </is>
      </c>
      <c r="J65" s="2" t="inlineStr">
        <is>
          <t>yes</t>
        </is>
      </c>
      <c r="K65" s="2" t="inlineStr">
        <is>
          <t>census-p60-279.pdf</t>
        </is>
      </c>
      <c r="L65" s="2" t="inlineStr">
        <is>
          <t>Income in the United States: 2022 &gt; HOUSEHOLD INCOME BY SELECTED CHARACTERISTICS &gt; Money Income Inequality27</t>
        </is>
      </c>
      <c r="M65" s="2" t="inlineStr">
        <is>
          <t>Money Income Inequality27
The Gini index is a statistical mea sure of income inequality ranging 
from 0.0 to 1.0. It measures the 
amount that any two incomes 
differ, on average, relative to 
mean income. It is an indicator 
of how far apart or “sp</t>
        </is>
      </c>
    </row>
    <row r="66">
      <c r="A66" s="2" t="inlineStr">
        <is>
          <t>R1w</t>
        </is>
      </c>
      <c r="B66" s="2" t="inlineStr">
        <is>
          <t>F2</t>
        </is>
      </c>
      <c r="C66" s="2" t="inlineStr">
        <is>
          <t>f2-q4</t>
        </is>
      </c>
      <c r="D66" s="2" t="inlineStr">
        <is>
          <t>What was the median income of married-couple households in 2022 according to Table A-1?</t>
        </is>
      </c>
      <c r="E66" s="2" t="inlineStr">
        <is>
          <t>table</t>
        </is>
      </c>
      <c r="F66" s="2" t="inlineStr">
        <is>
          <t>married-couple + 110,800</t>
        </is>
      </c>
      <c r="G66" s="2" t="inlineStr">
        <is>
          <t>R1w</t>
        </is>
      </c>
      <c r="H66" s="2" t="n"/>
      <c r="I66" s="2" t="inlineStr">
        <is>
          <t>no</t>
        </is>
      </c>
      <c r="J66" s="2" t="inlineStr">
        <is>
          <t>no</t>
        </is>
      </c>
      <c r="K66" s="2" t="inlineStr">
        <is>
          <t>census-p60-279.pdf</t>
        </is>
      </c>
      <c r="L66" s="2" t="inlineStr">
        <is>
          <t>Income in the United States: 2022 &gt; HOUSEHOLD INCOME BY SELECTED CHARACTERISTICS &gt; Type of Household8</t>
        </is>
      </c>
      <c r="M66" s="2" t="inlineStr">
        <is>
          <t>Type of Household8
The 2022 real median income of 
family households declined by 
2.9 percent from 2021, and the 
real median income of marriedcouple families declined by 3.9 
percent. Among family house holds, married couples had the 
highest media</t>
        </is>
      </c>
    </row>
    <row r="67">
      <c r="A67" s="2" t="inlineStr">
        <is>
          <t>R1w</t>
        </is>
      </c>
      <c r="B67" s="2" t="inlineStr">
        <is>
          <t>F2</t>
        </is>
      </c>
      <c r="C67" s="2" t="inlineStr">
        <is>
          <t>f2-q5</t>
        </is>
      </c>
      <c r="D67" s="2" t="inlineStr">
        <is>
          <t>What was the median income of family households in 2022 according to Table A-1?</t>
        </is>
      </c>
      <c r="E67" s="2" t="inlineStr">
        <is>
          <t>table</t>
        </is>
      </c>
      <c r="F67" s="2" t="inlineStr">
        <is>
          <t>family households + 95,450</t>
        </is>
      </c>
      <c r="G67" s="2" t="inlineStr">
        <is>
          <t>R1w</t>
        </is>
      </c>
      <c r="H67" s="2" t="n"/>
      <c r="I67" s="2" t="inlineStr">
        <is>
          <t>no</t>
        </is>
      </c>
      <c r="J67" s="2" t="inlineStr">
        <is>
          <t>no</t>
        </is>
      </c>
      <c r="K67" s="2" t="inlineStr">
        <is>
          <t>census-p60-279.pdf</t>
        </is>
      </c>
      <c r="L67" s="2" t="inlineStr">
        <is>
          <t>Income in the United States: 2022 &gt; HOUSEHOLD INCOME BY SELECTED CHARACTERISTICS &gt; Type of Household8</t>
        </is>
      </c>
      <c r="M67" s="2" t="inlineStr">
        <is>
          <t>Type of Household8
The 2022 real median income of 
family households declined by 
2.9 percent from 2021, and the 
real median income of marriedcouple families declined by 3.9 
percent. Among family house holds, married couples had the 
highest media</t>
        </is>
      </c>
    </row>
    <row r="68">
      <c r="A68" s="2" t="inlineStr">
        <is>
          <t>R1w</t>
        </is>
      </c>
      <c r="B68" s="2" t="inlineStr">
        <is>
          <t>F2</t>
        </is>
      </c>
      <c r="C68" s="2" t="inlineStr">
        <is>
          <t>f2-q6</t>
        </is>
      </c>
      <c r="D68" s="2" t="inlineStr">
        <is>
          <t>What was the median income of nonfamily households in 2022 according to Table A-1?</t>
        </is>
      </c>
      <c r="E68" s="2" t="inlineStr">
        <is>
          <t>table</t>
        </is>
      </c>
      <c r="F68" s="2" t="inlineStr">
        <is>
          <t>nonfamily households + 45,440</t>
        </is>
      </c>
      <c r="G68" s="2" t="inlineStr">
        <is>
          <t>R1w</t>
        </is>
      </c>
      <c r="H68" s="2" t="n">
        <v>1</v>
      </c>
      <c r="I68" s="2" t="inlineStr">
        <is>
          <t>yes</t>
        </is>
      </c>
      <c r="J68" s="2" t="inlineStr">
        <is>
          <t>yes</t>
        </is>
      </c>
      <c r="K68" s="2" t="inlineStr">
        <is>
          <t>census-p60-279.pdf</t>
        </is>
      </c>
      <c r="L68" s="2" t="inlineStr">
        <is>
          <t>Income in the United States: 2022 &gt; HOUSEHOLD INCOME BY SELECTED CHARACTERISTICS &gt; Type of Household8</t>
        </is>
      </c>
      <c r="M68" s="2" t="inlineStr">
        <is>
          <t xml:space="preserve">an 
income between these groups and 
non-Hispanic White households 
decreased.12
Nonfamily households had a 
median income of $45,440 in 
2022, which was not significantly 
different from 2021 (Figure 1 and 
Table A-1). Nonfamily house holds with a </t>
        </is>
      </c>
    </row>
    <row r="69">
      <c r="A69" s="2" t="inlineStr">
        <is>
          <t>R1w</t>
        </is>
      </c>
      <c r="B69" s="2" t="inlineStr">
        <is>
          <t>F2</t>
        </is>
      </c>
      <c r="C69" s="2" t="inlineStr">
        <is>
          <t>f2-q7</t>
        </is>
      </c>
      <c r="D69" s="2" t="inlineStr">
        <is>
          <t>What was the median household income in Canada in 2022?</t>
        </is>
      </c>
      <c r="E69" s="2" t="inlineStr">
        <is>
          <t>unanswerable</t>
        </is>
      </c>
      <c r="F69" s="2" t="inlineStr">
        <is>
          <t>(not in source)</t>
        </is>
      </c>
      <c r="G69" s="2" t="inlineStr">
        <is>
          <t>R1w</t>
        </is>
      </c>
      <c r="H69" s="2" t="n"/>
      <c r="I69" s="2" t="inlineStr">
        <is>
          <t>n/a</t>
        </is>
      </c>
      <c r="J69" s="2" t="inlineStr">
        <is>
          <t>n/a</t>
        </is>
      </c>
      <c r="K69" s="2" t="inlineStr">
        <is>
          <t>census-p60-279.pdf</t>
        </is>
      </c>
      <c r="L69" s="2" t="inlineStr">
        <is>
          <t>Income in the United States: 2022 &gt; HOUSEHOLD INCOME BY SELECTED CHARACTERISTICS &gt; All Households</t>
        </is>
      </c>
      <c r="M69" s="2" t="inlineStr">
        <is>
          <t>All Households
Real median household income 
was $74,580 in 2022, 2.3 percent 
lower than the 2021 estimate of 
$76,330. It was 4.7 percent lower 
than the 2019 median, the year 
before the start of the COVID-19 
pandemic and the corresponding 
rece</t>
        </is>
      </c>
    </row>
    <row r="70">
      <c r="A70" s="2" t="inlineStr">
        <is>
          <t>R1w</t>
        </is>
      </c>
      <c r="B70" s="2" t="inlineStr">
        <is>
          <t>F3</t>
        </is>
      </c>
      <c r="C70" s="2" t="inlineStr">
        <is>
          <t>f3-q1</t>
        </is>
      </c>
      <c r="D70" s="2" t="inlineStr">
        <is>
          <t>How many television pictures does Part III of the Surveyor VI report present?</t>
        </is>
      </c>
      <c r="E70" s="2" t="inlineStr">
        <is>
          <t>ocr</t>
        </is>
      </c>
      <c r="F70" s="2" t="inlineStr">
        <is>
          <t>139 of the total number</t>
        </is>
      </c>
      <c r="G70" s="2" t="inlineStr">
        <is>
          <t>R1w</t>
        </is>
      </c>
      <c r="H70" s="2" t="n">
        <v>1</v>
      </c>
      <c r="I70" s="2" t="inlineStr">
        <is>
          <t>yes</t>
        </is>
      </c>
      <c r="J70" s="2" t="inlineStr">
        <is>
          <t>yes</t>
        </is>
      </c>
      <c r="K70" s="2" t="inlineStr">
        <is>
          <t>surveyor-vi-tv-scan.pdf</t>
        </is>
      </c>
      <c r="L70" s="2" t="inlineStr"/>
      <c r="M70"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71">
      <c r="A71" s="2" t="inlineStr">
        <is>
          <t>R1w</t>
        </is>
      </c>
      <c r="B71" s="2" t="inlineStr">
        <is>
          <t>F3</t>
        </is>
      </c>
      <c r="C71" s="2" t="inlineStr">
        <is>
          <t>f3-q2</t>
        </is>
      </c>
      <c r="D71" s="2" t="inlineStr">
        <is>
          <t>Between which dates were the Surveyor VI television pictures transmitted?</t>
        </is>
      </c>
      <c r="E71" s="2" t="inlineStr">
        <is>
          <t>ocr</t>
        </is>
      </c>
      <c r="F71" s="2" t="inlineStr">
        <is>
          <t>november 10 and november 24, 1967</t>
        </is>
      </c>
      <c r="G71" s="2" t="inlineStr">
        <is>
          <t>R1w</t>
        </is>
      </c>
      <c r="H71" s="2" t="n">
        <v>1</v>
      </c>
      <c r="I71" s="2" t="inlineStr">
        <is>
          <t>yes</t>
        </is>
      </c>
      <c r="J71" s="2" t="inlineStr">
        <is>
          <t>yes</t>
        </is>
      </c>
      <c r="K71" s="2" t="inlineStr">
        <is>
          <t>surveyor-vi-tv-scan.pdf</t>
        </is>
      </c>
      <c r="L71" s="2" t="inlineStr"/>
      <c r="M71"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72">
      <c r="A72" s="2" t="inlineStr">
        <is>
          <t>R1w</t>
        </is>
      </c>
      <c r="B72" s="2" t="inlineStr">
        <is>
          <t>F3</t>
        </is>
      </c>
      <c r="C72" s="2" t="inlineStr">
        <is>
          <t>f3-q3</t>
        </is>
      </c>
      <c r="D72" s="2" t="inlineStr">
        <is>
          <t>How many mosaics are included in Part III?</t>
        </is>
      </c>
      <c r="E72" s="2" t="inlineStr">
        <is>
          <t>ocr</t>
        </is>
      </c>
      <c r="F72" s="2" t="inlineStr">
        <is>
          <t>46 mosaics</t>
        </is>
      </c>
      <c r="G72" s="2" t="inlineStr">
        <is>
          <t>R1w</t>
        </is>
      </c>
      <c r="H72" s="2" t="n">
        <v>1</v>
      </c>
      <c r="I72" s="2" t="inlineStr">
        <is>
          <t>yes</t>
        </is>
      </c>
      <c r="J72" s="2" t="inlineStr">
        <is>
          <t>yes</t>
        </is>
      </c>
      <c r="K72" s="2" t="inlineStr">
        <is>
          <t>surveyor-vi-tv-scan.pdf</t>
        </is>
      </c>
      <c r="L72" s="2" t="inlineStr"/>
      <c r="M72"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73">
      <c r="A73" s="2" t="inlineStr">
        <is>
          <t>R1w</t>
        </is>
      </c>
      <c r="B73" s="2" t="inlineStr">
        <is>
          <t>F3</t>
        </is>
      </c>
      <c r="C73" s="2" t="inlineStr">
        <is>
          <t>f3-q4</t>
        </is>
      </c>
      <c r="D73" s="2" t="inlineStr">
        <is>
          <t>What is the mass of the Surveyor survey TV camera?</t>
        </is>
      </c>
      <c r="E73" s="2" t="inlineStr">
        <is>
          <t>ocr</t>
        </is>
      </c>
      <c r="F73" s="2" t="inlineStr">
        <is>
          <t>7.3-kg camera</t>
        </is>
      </c>
      <c r="G73" s="2" t="inlineStr">
        <is>
          <t>R1w</t>
        </is>
      </c>
      <c r="H73" s="2" t="n">
        <v>3</v>
      </c>
      <c r="I73" s="2" t="inlineStr">
        <is>
          <t>no</t>
        </is>
      </c>
      <c r="J73" s="2" t="inlineStr">
        <is>
          <t>yes</t>
        </is>
      </c>
      <c r="K73" s="2" t="inlineStr">
        <is>
          <t>surveyor-vi-tv-scan.pdf</t>
        </is>
      </c>
      <c r="L73" s="2" t="inlineStr"/>
      <c r="M73" s="2" t="inlineStr">
        <is>
          <t>Il. Television Subsystem M. I. Smokler
The Surveyor TV system is designed to obtain video pictures of the lunar surface, lunar sky, and portions of the landed spacecraft. It includes a survey camera capable of panoramic viewing, and a TV auxiliary t</t>
        </is>
      </c>
    </row>
    <row r="74">
      <c r="A74" s="2" t="inlineStr">
        <is>
          <t>R1w</t>
        </is>
      </c>
      <c r="B74" s="2" t="inlineStr">
        <is>
          <t>F3</t>
        </is>
      </c>
      <c r="C74" s="2" t="inlineStr">
        <is>
          <t>f3-q5</t>
        </is>
      </c>
      <c r="D74" s="2" t="inlineStr">
        <is>
          <t>Over what range can the Surveyor TV camera focus?</t>
        </is>
      </c>
      <c r="E74" s="2" t="inlineStr">
        <is>
          <t>ocr</t>
        </is>
      </c>
      <c r="F74" s="2" t="inlineStr">
        <is>
          <t>1.22 m to infinity</t>
        </is>
      </c>
      <c r="G74" s="2" t="inlineStr">
        <is>
          <t>R1w</t>
        </is>
      </c>
      <c r="H74" s="2" t="n">
        <v>4</v>
      </c>
      <c r="I74" s="2" t="inlineStr">
        <is>
          <t>no</t>
        </is>
      </c>
      <c r="J74" s="2" t="inlineStr">
        <is>
          <t>yes</t>
        </is>
      </c>
      <c r="K74" s="2" t="inlineStr">
        <is>
          <t>surveyor-vi-tv-scan.pdf</t>
        </is>
      </c>
      <c r="L74" s="2" t="inlineStr"/>
      <c r="M74" s="2" t="inlineStr">
        <is>
          <t xml:space="preserve"> was capable of providing either a
Fig. II-5. Variable-focal-length lens assembly
100-mm or 25-mm focal length, resulting in a vertical field of view of approximately 6.43 or 25.3 deg, respectively, as measured by the angular subtense of the vertic</t>
        </is>
      </c>
    </row>
    <row r="75">
      <c r="A75" s="2" t="inlineStr">
        <is>
          <t>R1w</t>
        </is>
      </c>
      <c r="B75" s="2" t="inlineStr">
        <is>
          <t>F3</t>
        </is>
      </c>
      <c r="C75" s="2" t="inlineStr">
        <is>
          <t>f3-q6</t>
        </is>
      </c>
      <c r="D75" s="2" t="inlineStr">
        <is>
          <t>What scene luminance range is the Surveyor camera designed to accommodate?</t>
        </is>
      </c>
      <c r="E75" s="2" t="inlineStr">
        <is>
          <t>ocr</t>
        </is>
      </c>
      <c r="F75" s="2" t="inlineStr">
        <is>
          <t>0.008 to 2600 ft-l</t>
        </is>
      </c>
      <c r="G75" s="2" t="inlineStr">
        <is>
          <t>R1w</t>
        </is>
      </c>
      <c r="H75" s="2" t="n">
        <v>1</v>
      </c>
      <c r="I75" s="2" t="inlineStr">
        <is>
          <t>yes</t>
        </is>
      </c>
      <c r="J75" s="2" t="inlineStr">
        <is>
          <t>yes</t>
        </is>
      </c>
      <c r="K75" s="2" t="inlineStr">
        <is>
          <t>surveyor-vi-tv-scan.pdf</t>
        </is>
      </c>
      <c r="L75" s="2" t="inlineStr"/>
      <c r="M75" s="2" t="inlineStr">
        <is>
          <t xml:space="preserve">tification signals and to provide appropriate video mixing.
A. Camera Description
The slow-scan survey TV camera, shown in Figs. II-1 and II-2, provides images of the lunar surface over a 360-deg panorama. Each picture, or frame, is imaged through </t>
        </is>
      </c>
    </row>
    <row r="76">
      <c r="A76" s="2" t="inlineStr">
        <is>
          <t>R1w</t>
        </is>
      </c>
      <c r="B76" s="2" t="inlineStr">
        <is>
          <t>F3</t>
        </is>
      </c>
      <c r="C76" s="2" t="inlineStr">
        <is>
          <t>f3-q7</t>
        </is>
      </c>
      <c r="D76" s="2" t="inlineStr">
        <is>
          <t>Which mission number in the Surveyor series was Surveyor VI?</t>
        </is>
      </c>
      <c r="E76" s="2" t="inlineStr">
        <is>
          <t>ocr</t>
        </is>
      </c>
      <c r="F76" s="2" t="inlineStr">
        <is>
          <t>the sixth in a series of unmanned lunar soft-landing missions</t>
        </is>
      </c>
      <c r="G76" s="2" t="inlineStr">
        <is>
          <t>R1w</t>
        </is>
      </c>
      <c r="H76" s="2" t="n">
        <v>1</v>
      </c>
      <c r="I76" s="2" t="inlineStr">
        <is>
          <t>yes</t>
        </is>
      </c>
      <c r="J76" s="2" t="inlineStr">
        <is>
          <t>yes</t>
        </is>
      </c>
      <c r="K76" s="2" t="inlineStr">
        <is>
          <t>surveyor-vi-tv-scan.pdf</t>
        </is>
      </c>
      <c r="L76" s="2" t="inlineStr"/>
      <c r="M76" s="2" t="inlineStr">
        <is>
          <t>Preface
This three-part document constitutes the Project Mission Report on Surveyor VI, the sixth in a series of unmanned lunar soft-landing missions.
Part I of this Technical Report consists of a technical description and an evaluation of engineer</t>
        </is>
      </c>
    </row>
    <row r="77">
      <c r="A77" s="2" t="inlineStr">
        <is>
          <t>R1w</t>
        </is>
      </c>
      <c r="B77" s="2" t="inlineStr">
        <is>
          <t>F3</t>
        </is>
      </c>
      <c r="C77" s="2" t="inlineStr">
        <is>
          <t>f3-q8</t>
        </is>
      </c>
      <c r="D77" s="2" t="inlineStr">
        <is>
          <t>What was the landing site latitude of Surveyor VII?</t>
        </is>
      </c>
      <c r="E77" s="2" t="inlineStr">
        <is>
          <t>unanswerable</t>
        </is>
      </c>
      <c r="F77" s="2" t="inlineStr">
        <is>
          <t>(not in source)</t>
        </is>
      </c>
      <c r="G77" s="2" t="inlineStr">
        <is>
          <t>R1w</t>
        </is>
      </c>
      <c r="H77" s="2" t="n"/>
      <c r="I77" s="2" t="inlineStr">
        <is>
          <t>n/a</t>
        </is>
      </c>
      <c r="J77" s="2" t="inlineStr">
        <is>
          <t>n/a</t>
        </is>
      </c>
      <c r="K77" s="2" t="inlineStr">
        <is>
          <t>surveyor-vi-tv-scan.pdf</t>
        </is>
      </c>
      <c r="L77" s="2" t="inlineStr"/>
      <c r="M77" s="2" t="inlineStr">
        <is>
          <t>Preface
This three-part document constitutes the Project Mission Report on Surveyor VI, the sixth in a series of unmanned lunar soft-landing missions.
Part I of this Technical Report consists of a technical description and an evaluation of engineer</t>
        </is>
      </c>
    </row>
    <row r="78">
      <c r="A78" s="2" t="inlineStr">
        <is>
          <t>R2</t>
        </is>
      </c>
      <c r="B78" s="2" t="inlineStr">
        <is>
          <t>F1</t>
        </is>
      </c>
      <c r="C78" s="2" t="inlineStr">
        <is>
          <t>f1-q1</t>
        </is>
      </c>
      <c r="D78" s="2" t="inlineStr">
        <is>
          <t>What are the layer, hidden size and attention head settings of BERT-base?</t>
        </is>
      </c>
      <c r="E78" s="2" t="inlineStr">
        <is>
          <t>text</t>
        </is>
      </c>
      <c r="F78" s="2" t="inlineStr">
        <is>
          <t>l=12, h=768, a=12</t>
        </is>
      </c>
      <c r="G78" s="2" t="inlineStr">
        <is>
          <t>R2</t>
        </is>
      </c>
      <c r="H78" s="2" t="n">
        <v>3</v>
      </c>
      <c r="I78" s="2" t="inlineStr">
        <is>
          <t>no</t>
        </is>
      </c>
      <c r="J78" s="2" t="inlineStr">
        <is>
          <t>yes</t>
        </is>
      </c>
      <c r="K78" s="2" t="inlineStr">
        <is>
          <t>acl-n19-1423-bert.pdf</t>
        </is>
      </c>
      <c r="L78" s="2" t="inlineStr"/>
      <c r="M78" s="2" t="inlineStr">
        <is>
          <t xml:space="preserve">.99 84.4 86.7 92.9 12 1024 16 3.54 85.7 86.9 93.3 24 1024 16 3.23 86.6 87.8 93.7
Table 6:
Ablation over BERT model size. #L = the
number of layers; #H = hidden size; #A = number of attention heads. “LM (ppl)” is the masked LM perplexity
of held-out </t>
        </is>
      </c>
    </row>
    <row r="79">
      <c r="A79" s="2" t="inlineStr">
        <is>
          <t>R2</t>
        </is>
      </c>
      <c r="B79" s="2" t="inlineStr">
        <is>
          <t>F1</t>
        </is>
      </c>
      <c r="C79" s="2" t="inlineStr">
        <is>
          <t>f1-q2</t>
        </is>
      </c>
      <c r="D79" s="2" t="inlineStr">
        <is>
          <t>What percentage of WordPiece tokens does BERT mask during pre-training?</t>
        </is>
      </c>
      <c r="E79" s="2" t="inlineStr">
        <is>
          <t>text</t>
        </is>
      </c>
      <c r="F79" s="2" t="inlineStr">
        <is>
          <t>15% of all wordpiece</t>
        </is>
      </c>
      <c r="G79" s="2" t="inlineStr">
        <is>
          <t>R2</t>
        </is>
      </c>
      <c r="H79" s="2" t="n">
        <v>3</v>
      </c>
      <c r="I79" s="2" t="inlineStr">
        <is>
          <t>no</t>
        </is>
      </c>
      <c r="J79" s="2" t="inlineStr">
        <is>
          <t>yes</t>
        </is>
      </c>
      <c r="K79" s="2" t="inlineStr">
        <is>
          <t>acl-n19-1423-bert.pdf</t>
        </is>
      </c>
      <c r="L79" s="2" t="inlineStr"/>
      <c r="M79" s="2" t="inlineStr">
        <is>
          <t>The numbers in the left part of the table represent the probabilities of the speciﬁc strategies used during MLM pre-training (BERT uses 80%, 10%, 10%). The right part of the paper represents the Dev set results. For the feature-based approach, we con</t>
        </is>
      </c>
    </row>
    <row r="80">
      <c r="A80" s="2" t="inlineStr">
        <is>
          <t>R2</t>
        </is>
      </c>
      <c r="B80" s="2" t="inlineStr">
        <is>
          <t>F1</t>
        </is>
      </c>
      <c r="C80" s="2" t="inlineStr">
        <is>
          <t>f1-q3</t>
        </is>
      </c>
      <c r="D80" s="2" t="inlineStr">
        <is>
          <t>What GLUE score did BERT reach?</t>
        </is>
      </c>
      <c r="E80" s="2" t="inlineStr">
        <is>
          <t>text</t>
        </is>
      </c>
      <c r="F80" s="2" t="inlineStr">
        <is>
          <t>glue score to 80.5%</t>
        </is>
      </c>
      <c r="G80" s="2" t="inlineStr">
        <is>
          <t>R2</t>
        </is>
      </c>
      <c r="H80" s="2" t="n">
        <v>3</v>
      </c>
      <c r="I80" s="2" t="inlineStr">
        <is>
          <t>no</t>
        </is>
      </c>
      <c r="J80" s="2" t="inlineStr">
        <is>
          <t>yes</t>
        </is>
      </c>
      <c r="K80" s="2" t="inlineStr">
        <is>
          <t>acl-n19-1423-bert.pdf</t>
        </is>
      </c>
      <c r="L80" s="2" t="inlineStr"/>
      <c r="M80" s="2" t="inlineStr">
        <is>
          <t xml:space="preserve">Results are presented in Table 1. Both BERTBASE and BERTLARGE outperform all systems on all tasks by a substantial margin, obtaining 4.5% and 7.0% respective average accuracy improvement over the prior state of the art. Note that BERTBASE and OpenAI </t>
        </is>
      </c>
    </row>
    <row r="81">
      <c r="A81" s="2" t="inlineStr">
        <is>
          <t>R2</t>
        </is>
      </c>
      <c r="B81" s="2" t="inlineStr">
        <is>
          <t>F1</t>
        </is>
      </c>
      <c r="C81" s="2" t="inlineStr">
        <is>
          <t>f1-q4</t>
        </is>
      </c>
      <c r="D81" s="2" t="inlineStr">
        <is>
          <t>Which corpora were used to pre-train BERT?</t>
        </is>
      </c>
      <c r="E81" s="2" t="inlineStr">
        <is>
          <t>text</t>
        </is>
      </c>
      <c r="F81" s="2" t="inlineStr">
        <is>
          <t>bookscorpus (800m words)</t>
        </is>
      </c>
      <c r="G81" s="2" t="inlineStr">
        <is>
          <t>R2</t>
        </is>
      </c>
      <c r="H81" s="2" t="n">
        <v>2</v>
      </c>
      <c r="I81" s="2" t="inlineStr">
        <is>
          <t>no</t>
        </is>
      </c>
      <c r="J81" s="2" t="inlineStr">
        <is>
          <t>yes</t>
        </is>
      </c>
      <c r="K81" s="2" t="inlineStr">
        <is>
          <t>acl-n19-1423-bert.pdf</t>
        </is>
      </c>
      <c r="L81" s="2" t="inlineStr">
        <is>
          <t>3.1
Pre-training BERT</t>
        </is>
      </c>
      <c r="M81" s="2" t="inlineStr">
        <is>
          <t>3.1
Pre-training BERT</t>
        </is>
      </c>
    </row>
    <row r="82">
      <c r="A82" s="2" t="inlineStr">
        <is>
          <t>R2</t>
        </is>
      </c>
      <c r="B82" s="2" t="inlineStr">
        <is>
          <t>F1</t>
        </is>
      </c>
      <c r="C82" s="2" t="inlineStr">
        <is>
          <t>f1-q5</t>
        </is>
      </c>
      <c r="D82" s="2" t="inlineStr">
        <is>
          <t>What SQuAD v1.1 Test F1 did BERT achieve?</t>
        </is>
      </c>
      <c r="E82" s="2" t="inlineStr">
        <is>
          <t>text</t>
        </is>
      </c>
      <c r="F82" s="2" t="inlineStr">
        <is>
          <t>93.2</t>
        </is>
      </c>
      <c r="G82" s="2" t="inlineStr">
        <is>
          <t>R2</t>
        </is>
      </c>
      <c r="H82" s="2" t="n">
        <v>2</v>
      </c>
      <c r="I82" s="2" t="inlineStr">
        <is>
          <t>no</t>
        </is>
      </c>
      <c r="J82" s="2" t="inlineStr">
        <is>
          <t>yes</t>
        </is>
      </c>
      <c r="K82" s="2" t="inlineStr">
        <is>
          <t>acl-n19-1423-bert.pdf</t>
        </is>
      </c>
      <c r="L82" s="2" t="inlineStr"/>
      <c r="M82" s="2" t="inlineStr">
        <is>
          <t>Table 4: SWAG Dev and Test accuracies. †Human performance is measured with 100 samples, as reported in
the SWAG paper.
ˆ si,j = maxj≥iS·Ti + E·Tj. We predict a non-null answer when ˆ si,j &gt; snull + τ, where the threshold τ is selected on the dev set</t>
        </is>
      </c>
    </row>
    <row r="83">
      <c r="A83" s="2" t="inlineStr">
        <is>
          <t>R2</t>
        </is>
      </c>
      <c r="B83" s="2" t="inlineStr">
        <is>
          <t>F1</t>
        </is>
      </c>
      <c r="C83" s="2" t="inlineStr">
        <is>
          <t>f1-q6</t>
        </is>
      </c>
      <c r="D83" s="2" t="inlineStr">
        <is>
          <t>How many total parameters does BERT-large have?</t>
        </is>
      </c>
      <c r="E83" s="2" t="inlineStr">
        <is>
          <t>text</t>
        </is>
      </c>
      <c r="F83" s="2" t="inlineStr">
        <is>
          <t>total parameters=340m</t>
        </is>
      </c>
      <c r="G83" s="2" t="inlineStr">
        <is>
          <t>R2</t>
        </is>
      </c>
      <c r="H83" s="2" t="n">
        <v>1</v>
      </c>
      <c r="I83" s="2" t="inlineStr">
        <is>
          <t>yes</t>
        </is>
      </c>
      <c r="J83" s="2" t="inlineStr">
        <is>
          <t>yes</t>
        </is>
      </c>
      <c r="K83" s="2" t="inlineStr">
        <is>
          <t>acl-n19-1423-bert.pdf</t>
        </is>
      </c>
      <c r="L83" s="2" t="inlineStr">
        <is>
          <t>We primarily report results on two model sizes:
BERTBASE (L=12, H=768, A=12, Total Parameters=110M) and BERTLARGE (L=24, H=1024,
A=16, Total Parameters=340M).</t>
        </is>
      </c>
      <c r="M83" s="2" t="inlineStr">
        <is>
          <t>We primarily report results on two model sizes:
BERTBASE (L=12, H=768, A=12, Total Parameters=110M) and BERTLARGE (L=24, H=1024,
A=16, Total Parameters=340M).</t>
        </is>
      </c>
    </row>
    <row r="84">
      <c r="A84" s="2" t="inlineStr">
        <is>
          <t>R2</t>
        </is>
      </c>
      <c r="B84" s="2" t="inlineStr">
        <is>
          <t>F1</t>
        </is>
      </c>
      <c r="C84" s="2" t="inlineStr">
        <is>
          <t>f1-q7</t>
        </is>
      </c>
      <c r="D84" s="2" t="inlineStr">
        <is>
          <t>How many GPUs were used to train GPT-4?</t>
        </is>
      </c>
      <c r="E84" s="2" t="inlineStr">
        <is>
          <t>unanswerable</t>
        </is>
      </c>
      <c r="F84" s="2" t="inlineStr">
        <is>
          <t>(not in source)</t>
        </is>
      </c>
      <c r="G84" s="2" t="inlineStr">
        <is>
          <t>R2</t>
        </is>
      </c>
      <c r="H84" s="2" t="n"/>
      <c r="I84" s="2" t="inlineStr">
        <is>
          <t>n/a</t>
        </is>
      </c>
      <c r="J84" s="2" t="inlineStr">
        <is>
          <t>n/a</t>
        </is>
      </c>
      <c r="K84" s="2" t="inlineStr">
        <is>
          <t>acl-n19-1423-bert.pdf</t>
        </is>
      </c>
      <c r="L84" s="2" t="inlineStr"/>
      <c r="M84" s="2" t="inlineStr">
        <is>
          <t>• GPT was trained for 1M steps with a batch
size of 32,000 words; BERT was trained for
1M steps with a batch size of 128,000 words.
• GPT used the same learning rate of 5e-5 for
all ﬁne-tuning experiments; BERT chooses a
task-speciﬁc ﬁne-tuning lear</t>
        </is>
      </c>
    </row>
    <row r="85">
      <c r="A85" s="2" t="inlineStr">
        <is>
          <t>R2</t>
        </is>
      </c>
      <c r="B85" s="2" t="inlineStr">
        <is>
          <t>F2</t>
        </is>
      </c>
      <c r="C85" s="2" t="inlineStr">
        <is>
          <t>f2-q1</t>
        </is>
      </c>
      <c r="D85" s="2" t="inlineStr">
        <is>
          <t>What was real median household income in the United States in 2022?</t>
        </is>
      </c>
      <c r="E85" s="2" t="inlineStr">
        <is>
          <t>text</t>
        </is>
      </c>
      <c r="F85" s="2" t="inlineStr">
        <is>
          <t>$74,580</t>
        </is>
      </c>
      <c r="G85" s="2" t="inlineStr">
        <is>
          <t>R2</t>
        </is>
      </c>
      <c r="H85" s="2" t="n">
        <v>1</v>
      </c>
      <c r="I85" s="2" t="inlineStr">
        <is>
          <t>yes</t>
        </is>
      </c>
      <c r="J85" s="2" t="inlineStr">
        <is>
          <t>yes</t>
        </is>
      </c>
      <c r="K85" s="2" t="inlineStr">
        <is>
          <t>census-p60-279.pdf</t>
        </is>
      </c>
      <c r="L85" s="2" t="inlineStr"/>
      <c r="M85" s="2" t="inlineStr">
        <is>
          <t xml:space="preserve">Real median household income 
was $74,580 in 2022, 2.3 percent 
lower than the 2021 estimate of 
$76,330. It was 4.7 percent lower 
than the 2019 median, the year 
before the start of the COVID-19 
pandemic and the corresponding 
recession (Figure 1 </t>
        </is>
      </c>
    </row>
    <row r="86">
      <c r="A86" s="2" t="inlineStr">
        <is>
          <t>R2</t>
        </is>
      </c>
      <c r="B86" s="2" t="inlineStr">
        <is>
          <t>F2</t>
        </is>
      </c>
      <c r="C86" s="2" t="inlineStr">
        <is>
          <t>f2-q2</t>
        </is>
      </c>
      <c r="D86" s="2" t="inlineStr">
        <is>
          <t>By how much did real median household income change between 2021 and 2022?</t>
        </is>
      </c>
      <c r="E86" s="2" t="inlineStr">
        <is>
          <t>text</t>
        </is>
      </c>
      <c r="F86" s="2" t="inlineStr">
        <is>
          <t>2.3 percent</t>
        </is>
      </c>
      <c r="G86" s="2" t="inlineStr">
        <is>
          <t>R2</t>
        </is>
      </c>
      <c r="H86" s="2" t="n">
        <v>2</v>
      </c>
      <c r="I86" s="2" t="inlineStr">
        <is>
          <t>no</t>
        </is>
      </c>
      <c r="J86" s="2" t="inlineStr">
        <is>
          <t>yes</t>
        </is>
      </c>
      <c r="K86" s="2" t="inlineStr">
        <is>
          <t>census-p60-279.pdf</t>
        </is>
      </c>
      <c r="L86" s="2" t="inlineStr">
        <is>
          <t>Change: 2021 to 2022
2022 Median Income</t>
        </is>
      </c>
      <c r="M86" s="2" t="inlineStr">
        <is>
          <t>Change: 2021 to 2022
2022 Median Income</t>
        </is>
      </c>
    </row>
    <row r="87">
      <c r="A87" s="2" t="inlineStr">
        <is>
          <t>R2</t>
        </is>
      </c>
      <c r="B87" s="2" t="inlineStr">
        <is>
          <t>F2</t>
        </is>
      </c>
      <c r="C87" s="2" t="inlineStr">
        <is>
          <t>f2-q3</t>
        </is>
      </c>
      <c r="D87" s="2" t="inlineStr">
        <is>
          <t>How did the money income Gini index change between 2021 and 2022?</t>
        </is>
      </c>
      <c r="E87" s="2" t="inlineStr">
        <is>
          <t>text</t>
        </is>
      </c>
      <c r="F87" s="2" t="inlineStr">
        <is>
          <t>from 0.494 to 0.488</t>
        </is>
      </c>
      <c r="G87" s="2" t="inlineStr">
        <is>
          <t>R2</t>
        </is>
      </c>
      <c r="H87" s="2" t="n">
        <v>1</v>
      </c>
      <c r="I87" s="2" t="inlineStr">
        <is>
          <t>yes</t>
        </is>
      </c>
      <c r="J87" s="2" t="inlineStr">
        <is>
          <t>yes</t>
        </is>
      </c>
      <c r="K87" s="2" t="inlineStr">
        <is>
          <t>census-p60-279.pdf</t>
        </is>
      </c>
      <c r="L87" s="2" t="inlineStr"/>
      <c r="M87" s="2" t="inlineStr">
        <is>
          <t>The Gini index is a statistical mea sure of income inequality ranging 
from 0.0 to 1.0. It measures the 
amount that any two incomes 
differ, on average, relative to 
mean income. It is an indicator 
of how far apart or “spread out” 
incomes are from</t>
        </is>
      </c>
    </row>
    <row r="88">
      <c r="A88" s="2" t="inlineStr">
        <is>
          <t>R2</t>
        </is>
      </c>
      <c r="B88" s="2" t="inlineStr">
        <is>
          <t>F2</t>
        </is>
      </c>
      <c r="C88" s="2" t="inlineStr">
        <is>
          <t>f2-q4</t>
        </is>
      </c>
      <c r="D88" s="2" t="inlineStr">
        <is>
          <t>What was the median income of married-couple households in 2022 according to Table A-1?</t>
        </is>
      </c>
      <c r="E88" s="2" t="inlineStr">
        <is>
          <t>table</t>
        </is>
      </c>
      <c r="F88" s="2" t="inlineStr">
        <is>
          <t>married-couple + 110,800</t>
        </is>
      </c>
      <c r="G88" s="2" t="inlineStr">
        <is>
          <t>R2</t>
        </is>
      </c>
      <c r="H88" s="2" t="n"/>
      <c r="I88" s="2" t="inlineStr">
        <is>
          <t>no</t>
        </is>
      </c>
      <c r="J88" s="2" t="inlineStr">
        <is>
          <t>no</t>
        </is>
      </c>
      <c r="K88" s="2" t="inlineStr">
        <is>
          <t>census-p60-279.pdf</t>
        </is>
      </c>
      <c r="L88" s="2" t="inlineStr"/>
      <c r="M88" s="2" t="inlineStr">
        <is>
          <t>The 2022 real median income of 
family households declined by 
2.9 percent from 2021, and the 
real median income of marriedcouple families declined by 3.9 
percent. Among family house holds, married couples had the 
highest median income in 2022 
($</t>
        </is>
      </c>
    </row>
    <row r="89">
      <c r="A89" s="2" t="inlineStr">
        <is>
          <t>R2</t>
        </is>
      </c>
      <c r="B89" s="2" t="inlineStr">
        <is>
          <t>F2</t>
        </is>
      </c>
      <c r="C89" s="2" t="inlineStr">
        <is>
          <t>f2-q5</t>
        </is>
      </c>
      <c r="D89" s="2" t="inlineStr">
        <is>
          <t>What was the median income of family households in 2022 according to Table A-1?</t>
        </is>
      </c>
      <c r="E89" s="2" t="inlineStr">
        <is>
          <t>table</t>
        </is>
      </c>
      <c r="F89" s="2" t="inlineStr">
        <is>
          <t>family households + 95,450</t>
        </is>
      </c>
      <c r="G89" s="2" t="inlineStr">
        <is>
          <t>R2</t>
        </is>
      </c>
      <c r="H89" s="2" t="n"/>
      <c r="I89" s="2" t="inlineStr">
        <is>
          <t>no</t>
        </is>
      </c>
      <c r="J89" s="2" t="inlineStr">
        <is>
          <t>no</t>
        </is>
      </c>
      <c r="K89" s="2" t="inlineStr">
        <is>
          <t>census-p60-279.pdf</t>
        </is>
      </c>
      <c r="L89" s="2" t="inlineStr"/>
      <c r="M89" s="2" t="inlineStr">
        <is>
          <t>The 2022 real median income of 
family households declined by 
2.9 percent from 2021, and the 
real median income of marriedcouple families declined by 3.9 
percent. Among family house holds, married couples had the 
highest median income in 2022 
($</t>
        </is>
      </c>
    </row>
    <row r="90">
      <c r="A90" s="2" t="inlineStr">
        <is>
          <t>R2</t>
        </is>
      </c>
      <c r="B90" s="2" t="inlineStr">
        <is>
          <t>F2</t>
        </is>
      </c>
      <c r="C90" s="2" t="inlineStr">
        <is>
          <t>f2-q6</t>
        </is>
      </c>
      <c r="D90" s="2" t="inlineStr">
        <is>
          <t>What was the median income of nonfamily households in 2022 according to Table A-1?</t>
        </is>
      </c>
      <c r="E90" s="2" t="inlineStr">
        <is>
          <t>table</t>
        </is>
      </c>
      <c r="F90" s="2" t="inlineStr">
        <is>
          <t>nonfamily households + 45,440</t>
        </is>
      </c>
      <c r="G90" s="2" t="inlineStr">
        <is>
          <t>R2</t>
        </is>
      </c>
      <c r="H90" s="2" t="n">
        <v>1</v>
      </c>
      <c r="I90" s="2" t="inlineStr">
        <is>
          <t>yes</t>
        </is>
      </c>
      <c r="J90" s="2" t="inlineStr">
        <is>
          <t>yes</t>
        </is>
      </c>
      <c r="K90" s="2" t="inlineStr">
        <is>
          <t>census-p60-279.pdf</t>
        </is>
      </c>
      <c r="L90" s="2" t="inlineStr"/>
      <c r="M90" s="2" t="inlineStr">
        <is>
          <t xml:space="preserve">an 
income between these groups and 
non-Hispanic White households 
decreased.12
Nonfamily households had a 
median income of $45,440 in 
2022, which was not significantly 
different from 2021 (Figure 1 and 
Table A-1). Nonfamily house holds with a </t>
        </is>
      </c>
    </row>
    <row r="91">
      <c r="A91" s="2" t="inlineStr">
        <is>
          <t>R2</t>
        </is>
      </c>
      <c r="B91" s="2" t="inlineStr">
        <is>
          <t>F2</t>
        </is>
      </c>
      <c r="C91" s="2" t="inlineStr">
        <is>
          <t>f2-q7</t>
        </is>
      </c>
      <c r="D91" s="2" t="inlineStr">
        <is>
          <t>What was the median household income in Canada in 2022?</t>
        </is>
      </c>
      <c r="E91" s="2" t="inlineStr">
        <is>
          <t>unanswerable</t>
        </is>
      </c>
      <c r="F91" s="2" t="inlineStr">
        <is>
          <t>(not in source)</t>
        </is>
      </c>
      <c r="G91" s="2" t="inlineStr">
        <is>
          <t>R2</t>
        </is>
      </c>
      <c r="H91" s="2" t="n"/>
      <c r="I91" s="2" t="inlineStr">
        <is>
          <t>n/a</t>
        </is>
      </c>
      <c r="J91" s="2" t="inlineStr">
        <is>
          <t>n/a</t>
        </is>
      </c>
      <c r="K91" s="2" t="inlineStr">
        <is>
          <t>census-p60-279.pdf</t>
        </is>
      </c>
      <c r="L91" s="2" t="inlineStr"/>
      <c r="M91" s="2" t="inlineStr">
        <is>
          <t xml:space="preserve">Real median household income 
was $74,580 in 2022, 2.3 percent 
lower than the 2021 estimate of 
$76,330. It was 4.7 percent lower 
than the 2019 median, the year 
before the start of the COVID-19 
pandemic and the corresponding 
recession (Figure 1 </t>
        </is>
      </c>
    </row>
    <row r="92">
      <c r="A92" s="2" t="inlineStr">
        <is>
          <t>R2</t>
        </is>
      </c>
      <c r="B92" s="2" t="inlineStr">
        <is>
          <t>F3</t>
        </is>
      </c>
      <c r="C92" s="2" t="inlineStr">
        <is>
          <t>f3-q1</t>
        </is>
      </c>
      <c r="D92" s="2" t="inlineStr">
        <is>
          <t>How many television pictures does Part III of the Surveyor VI report present?</t>
        </is>
      </c>
      <c r="E92" s="2" t="inlineStr">
        <is>
          <t>ocr</t>
        </is>
      </c>
      <c r="F92" s="2" t="inlineStr">
        <is>
          <t>139 of the total number</t>
        </is>
      </c>
      <c r="G92" s="2" t="inlineStr">
        <is>
          <t>R2</t>
        </is>
      </c>
      <c r="H92" s="2" t="n">
        <v>1</v>
      </c>
      <c r="I92" s="2" t="inlineStr">
        <is>
          <t>yes</t>
        </is>
      </c>
      <c r="J92" s="2" t="inlineStr">
        <is>
          <t>yes</t>
        </is>
      </c>
      <c r="K92" s="2" t="inlineStr">
        <is>
          <t>surveyor-vi-tv-scan.pdf</t>
        </is>
      </c>
      <c r="L92" s="2" t="inlineStr"/>
      <c r="M92" s="2" t="inlineStr">
        <is>
          <t>ists of selected pictures from Surveyor VI and appropriate explanatory material.
This Part III presents 139 of the total number of television pictures transmitted
to earth from the lunar surface, between November 10 and November 24, 1967;
46 mosai</t>
        </is>
      </c>
    </row>
    <row r="93">
      <c r="A93" s="2" t="inlineStr">
        <is>
          <t>R2</t>
        </is>
      </c>
      <c r="B93" s="2" t="inlineStr">
        <is>
          <t>F3</t>
        </is>
      </c>
      <c r="C93" s="2" t="inlineStr">
        <is>
          <t>f3-q2</t>
        </is>
      </c>
      <c r="D93" s="2" t="inlineStr">
        <is>
          <t>Between which dates were the Surveyor VI television pictures transmitted?</t>
        </is>
      </c>
      <c r="E93" s="2" t="inlineStr">
        <is>
          <t>ocr</t>
        </is>
      </c>
      <c r="F93" s="2" t="inlineStr">
        <is>
          <t>november 10 and november 24, 1967</t>
        </is>
      </c>
      <c r="G93" s="2" t="inlineStr">
        <is>
          <t>R2</t>
        </is>
      </c>
      <c r="H93" s="2" t="n">
        <v>1</v>
      </c>
      <c r="I93" s="2" t="inlineStr">
        <is>
          <t>yes</t>
        </is>
      </c>
      <c r="J93" s="2" t="inlineStr">
        <is>
          <t>yes</t>
        </is>
      </c>
      <c r="K93" s="2" t="inlineStr">
        <is>
          <t>surveyor-vi-tv-scan.pdf</t>
        </is>
      </c>
      <c r="L93" s="2" t="inlineStr"/>
      <c r="M93" s="2" t="inlineStr">
        <is>
          <t>ists of selected pictures from Surveyor VI and appropriate explanatory material.
This Part III presents 139 of the total number of television pictures transmitted
to earth from the lunar surface, between November 10 and November 24, 1967;
46 mosai</t>
        </is>
      </c>
    </row>
    <row r="94">
      <c r="A94" s="2" t="inlineStr">
        <is>
          <t>R2</t>
        </is>
      </c>
      <c r="B94" s="2" t="inlineStr">
        <is>
          <t>F3</t>
        </is>
      </c>
      <c r="C94" s="2" t="inlineStr">
        <is>
          <t>f3-q3</t>
        </is>
      </c>
      <c r="D94" s="2" t="inlineStr">
        <is>
          <t>How many mosaics are included in Part III?</t>
        </is>
      </c>
      <c r="E94" s="2" t="inlineStr">
        <is>
          <t>ocr</t>
        </is>
      </c>
      <c r="F94" s="2" t="inlineStr">
        <is>
          <t>46 mosaics</t>
        </is>
      </c>
      <c r="G94" s="2" t="inlineStr">
        <is>
          <t>R2</t>
        </is>
      </c>
      <c r="H94" s="2" t="n">
        <v>1</v>
      </c>
      <c r="I94" s="2" t="inlineStr">
        <is>
          <t>yes</t>
        </is>
      </c>
      <c r="J94" s="2" t="inlineStr">
        <is>
          <t>yes</t>
        </is>
      </c>
      <c r="K94" s="2" t="inlineStr">
        <is>
          <t>surveyor-vi-tv-scan.pdf</t>
        </is>
      </c>
      <c r="L94" s="2" t="inlineStr"/>
      <c r="M94" s="2" t="inlineStr">
        <is>
          <t>ists of selected pictures from Surveyor VI and appropriate explanatory material.
This Part III presents 139 of the total number of television pictures transmitted
to earth from the lunar surface, between November 10 and November 24, 1967;
46 mosai</t>
        </is>
      </c>
    </row>
    <row r="95">
      <c r="A95" s="2" t="inlineStr">
        <is>
          <t>R2</t>
        </is>
      </c>
      <c r="B95" s="2" t="inlineStr">
        <is>
          <t>F3</t>
        </is>
      </c>
      <c r="C95" s="2" t="inlineStr">
        <is>
          <t>f3-q4</t>
        </is>
      </c>
      <c r="D95" s="2" t="inlineStr">
        <is>
          <t>What is the mass of the Surveyor survey TV camera?</t>
        </is>
      </c>
      <c r="E95" s="2" t="inlineStr">
        <is>
          <t>ocr</t>
        </is>
      </c>
      <c r="F95" s="2" t="inlineStr">
        <is>
          <t>7.3-kg camera</t>
        </is>
      </c>
      <c r="G95" s="2" t="inlineStr">
        <is>
          <t>R2</t>
        </is>
      </c>
      <c r="H95" s="2" t="n">
        <v>2</v>
      </c>
      <c r="I95" s="2" t="inlineStr">
        <is>
          <t>no</t>
        </is>
      </c>
      <c r="J95" s="2" t="inlineStr">
        <is>
          <t>yes</t>
        </is>
      </c>
      <c r="K95" s="2" t="inlineStr">
        <is>
          <t>surveyor-vi-tv-scan.pdf</t>
        </is>
      </c>
      <c r="L95" s="2" t="inlineStr"/>
      <c r="M95" s="2" t="inlineStr">
        <is>
          <t>Il. Television Subsystem
M. I. Smokler
The Surveyor TV system is designed to obtain video
camera Z axis to —60 deg below this same plane. The
pictures of the lunar surface, lunar sky, and portions of
camera Z axis is inclined approximately 16 de</t>
        </is>
      </c>
    </row>
    <row r="96">
      <c r="A96" s="2" t="inlineStr">
        <is>
          <t>R2</t>
        </is>
      </c>
      <c r="B96" s="2" t="inlineStr">
        <is>
          <t>F3</t>
        </is>
      </c>
      <c r="C96" s="2" t="inlineStr">
        <is>
          <t>f3-q5</t>
        </is>
      </c>
      <c r="D96" s="2" t="inlineStr">
        <is>
          <t>Over what range can the Surveyor TV camera focus?</t>
        </is>
      </c>
      <c r="E96" s="2" t="inlineStr">
        <is>
          <t>ocr</t>
        </is>
      </c>
      <c r="F96" s="2" t="inlineStr">
        <is>
          <t>1.22 m to infinity</t>
        </is>
      </c>
      <c r="G96" s="2" t="inlineStr">
        <is>
          <t>R2</t>
        </is>
      </c>
      <c r="H96" s="2" t="n">
        <v>4</v>
      </c>
      <c r="I96" s="2" t="inlineStr">
        <is>
          <t>no</t>
        </is>
      </c>
      <c r="J96" s="2" t="inlineStr">
        <is>
          <t>yes</t>
        </is>
      </c>
      <c r="K96" s="2" t="inlineStr">
        <is>
          <t>surveyor-vi-tv-scan.pdf</t>
        </is>
      </c>
      <c r="L96" s="2" t="inlineStr"/>
      <c r="M96" s="2" t="inlineStr">
        <is>
          <t>s and identification signals
generated by sequencing the shutter with appropriate
and to provide appropriate video mixing.
lens settings and mirror azimuth and elevation position-
ing to obtain selected views of the object space. The
A. Camera D</t>
        </is>
      </c>
    </row>
    <row r="97">
      <c r="A97" s="2" t="inlineStr">
        <is>
          <t>R2</t>
        </is>
      </c>
      <c r="B97" s="2" t="inlineStr">
        <is>
          <t>F3</t>
        </is>
      </c>
      <c r="C97" s="2" t="inlineStr">
        <is>
          <t>f3-q6</t>
        </is>
      </c>
      <c r="D97" s="2" t="inlineStr">
        <is>
          <t>What scene luminance range is the Surveyor camera designed to accommodate?</t>
        </is>
      </c>
      <c r="E97" s="2" t="inlineStr">
        <is>
          <t>ocr</t>
        </is>
      </c>
      <c r="F97" s="2" t="inlineStr">
        <is>
          <t>0.008 to 2600 ft-l</t>
        </is>
      </c>
      <c r="G97" s="2" t="inlineStr">
        <is>
          <t>R2</t>
        </is>
      </c>
      <c r="H97" s="2" t="n"/>
      <c r="I97" s="2" t="inlineStr">
        <is>
          <t>no</t>
        </is>
      </c>
      <c r="J97" s="2" t="inlineStr">
        <is>
          <t>no</t>
        </is>
      </c>
      <c r="K97" s="2" t="inlineStr">
        <is>
          <t>surveyor-vi-tv-scan.pdf</t>
        </is>
      </c>
      <c r="L97" s="2" t="inlineStr"/>
      <c r="M97" s="2" t="inlineStr">
        <is>
          <t>s and identification signals
generated by sequencing the shutter with appropriate
and to provide appropriate video mixing.
lens settings and mirror azimuth and elevation position-
ing to obtain selected views of the object space. The
A. Camera D</t>
        </is>
      </c>
    </row>
    <row r="98">
      <c r="A98" s="2" t="inlineStr">
        <is>
          <t>R2</t>
        </is>
      </c>
      <c r="B98" s="2" t="inlineStr">
        <is>
          <t>F3</t>
        </is>
      </c>
      <c r="C98" s="2" t="inlineStr">
        <is>
          <t>f3-q7</t>
        </is>
      </c>
      <c r="D98" s="2" t="inlineStr">
        <is>
          <t>Which mission number in the Surveyor series was Surveyor VI?</t>
        </is>
      </c>
      <c r="E98" s="2" t="inlineStr">
        <is>
          <t>ocr</t>
        </is>
      </c>
      <c r="F98" s="2" t="inlineStr">
        <is>
          <t>the sixth in a series of unmanned lunar soft-landing missions</t>
        </is>
      </c>
      <c r="G98" s="2" t="inlineStr">
        <is>
          <t>R2</t>
        </is>
      </c>
      <c r="H98" s="2" t="n">
        <v>1</v>
      </c>
      <c r="I98" s="2" t="inlineStr">
        <is>
          <t>yes</t>
        </is>
      </c>
      <c r="J98" s="2" t="inlineStr">
        <is>
          <t>yes</t>
        </is>
      </c>
      <c r="K98" s="2" t="inlineStr">
        <is>
          <t>surveyor-vi-tv-scan.pdf</t>
        </is>
      </c>
      <c r="L98" s="2" t="inlineStr"/>
      <c r="M98" s="2" t="inlineStr">
        <is>
          <t>Preface
This three-part document constitutes the Project Mission Report on Surveyor VI,
the sixth in a series of unmanned lunar soft-landing missions.
Part I of this Technical Report consists of a technical description and an
evaluation of engine</t>
        </is>
      </c>
    </row>
    <row r="99">
      <c r="A99" s="2" t="inlineStr">
        <is>
          <t>R2</t>
        </is>
      </c>
      <c r="B99" s="2" t="inlineStr">
        <is>
          <t>F3</t>
        </is>
      </c>
      <c r="C99" s="2" t="inlineStr">
        <is>
          <t>f3-q8</t>
        </is>
      </c>
      <c r="D99" s="2" t="inlineStr">
        <is>
          <t>What was the landing site latitude of Surveyor VII?</t>
        </is>
      </c>
      <c r="E99" s="2" t="inlineStr">
        <is>
          <t>unanswerable</t>
        </is>
      </c>
      <c r="F99" s="2" t="inlineStr">
        <is>
          <t>(not in source)</t>
        </is>
      </c>
      <c r="G99" s="2" t="inlineStr">
        <is>
          <t>R2</t>
        </is>
      </c>
      <c r="H99" s="2" t="n"/>
      <c r="I99" s="2" t="inlineStr">
        <is>
          <t>n/a</t>
        </is>
      </c>
      <c r="J99" s="2" t="inlineStr">
        <is>
          <t>n/a</t>
        </is>
      </c>
      <c r="K99" s="2" t="inlineStr">
        <is>
          <t>surveyor-vi-tv-scan.pdf</t>
        </is>
      </c>
      <c r="L99" s="2" t="inlineStr"/>
      <c r="M99" s="2" t="inlineStr">
        <is>
          <t>Preface
This three-part document constitutes the Project Mission Report on Surveyor VI,
the sixth in a series of unmanned lunar soft-landing missions.
Part I of this Technical Report consists of a technical description and an
evaluation of engine</t>
        </is>
      </c>
    </row>
    <row r="100">
      <c r="A100" s="2" t="inlineStr">
        <is>
          <t>R3a</t>
        </is>
      </c>
      <c r="B100" s="2" t="inlineStr">
        <is>
          <t>F1</t>
        </is>
      </c>
      <c r="C100" s="2" t="inlineStr">
        <is>
          <t>f1-q1</t>
        </is>
      </c>
      <c r="D100" s="2" t="inlineStr">
        <is>
          <t>What are the layer, hidden size and attention head settings of BERT-base?</t>
        </is>
      </c>
      <c r="E100" s="2" t="inlineStr">
        <is>
          <t>text</t>
        </is>
      </c>
      <c r="F100" s="2" t="inlineStr">
        <is>
          <t>l=12, h=768, a=12</t>
        </is>
      </c>
      <c r="G100" s="2" t="inlineStr">
        <is>
          <t>R3a</t>
        </is>
      </c>
      <c r="H100" s="2" t="n">
        <v>2</v>
      </c>
      <c r="I100" s="2" t="inlineStr">
        <is>
          <t>no</t>
        </is>
      </c>
      <c r="J100" s="2" t="inlineStr">
        <is>
          <t>yes</t>
        </is>
      </c>
      <c r="K100" s="2" t="inlineStr">
        <is>
          <t>acl-n19-1423-bert.pdf</t>
        </is>
      </c>
      <c r="L100" s="2" t="inlineStr">
        <is>
          <t>Language Understanding &gt; 5 Ablation Studies &gt; 5.3 Feature-based Approach with BERT</t>
        </is>
      </c>
      <c r="M100" s="2" t="inlineStr">
        <is>
          <t xml:space="preserve">.99 84.4 86.7 92.9 12 1024 16 3.54 85.7 86.9 93.3 24 1024 16 3.23 86.6 87.8 93.7
Table 6:
Ablation over BERT model size. #L = the
number of layers; #H = hidden size; #A = number of attention heads. “LM (ppl)” is the masked LM perplexity
of held-out </t>
        </is>
      </c>
    </row>
    <row r="101">
      <c r="A101" s="2" t="inlineStr">
        <is>
          <t>R3a</t>
        </is>
      </c>
      <c r="B101" s="2" t="inlineStr">
        <is>
          <t>F1</t>
        </is>
      </c>
      <c r="C101" s="2" t="inlineStr">
        <is>
          <t>f1-q2</t>
        </is>
      </c>
      <c r="D101" s="2" t="inlineStr">
        <is>
          <t>What percentage of WordPiece tokens does BERT mask during pre-training?</t>
        </is>
      </c>
      <c r="E101" s="2" t="inlineStr">
        <is>
          <t>text</t>
        </is>
      </c>
      <c r="F101" s="2" t="inlineStr">
        <is>
          <t>15% of all wordpiece</t>
        </is>
      </c>
      <c r="G101" s="2" t="inlineStr">
        <is>
          <t>R3a</t>
        </is>
      </c>
      <c r="H101" s="2" t="n">
        <v>2</v>
      </c>
      <c r="I101" s="2" t="inlineStr">
        <is>
          <t>no</t>
        </is>
      </c>
      <c r="J101" s="2" t="inlineStr">
        <is>
          <t>yes</t>
        </is>
      </c>
      <c r="K101" s="2" t="inlineStr">
        <is>
          <t>acl-n19-1423-bert.pdf</t>
        </is>
      </c>
      <c r="L101" s="2" t="inlineStr">
        <is>
          <t>Language Understanding &gt; 3 BERT &gt; 3.1 Pre-training BERT</t>
        </is>
      </c>
      <c r="M101" s="2" t="inlineStr">
        <is>
          <t>), we only predict the masked words rather than reconstructing the entire input.
Although this allows us to obtain a bidirectional pre-trained model, a downside is that we are creating a mismatch between pre-training and ﬁne-tuning, since the [MASK]</t>
        </is>
      </c>
    </row>
    <row r="102">
      <c r="A102" s="2" t="inlineStr">
        <is>
          <t>R3a</t>
        </is>
      </c>
      <c r="B102" s="2" t="inlineStr">
        <is>
          <t>F1</t>
        </is>
      </c>
      <c r="C102" s="2" t="inlineStr">
        <is>
          <t>f1-q3</t>
        </is>
      </c>
      <c r="D102" s="2" t="inlineStr">
        <is>
          <t>What GLUE score did BERT reach?</t>
        </is>
      </c>
      <c r="E102" s="2" t="inlineStr">
        <is>
          <t>text</t>
        </is>
      </c>
      <c r="F102" s="2" t="inlineStr">
        <is>
          <t>glue score to 80.5%</t>
        </is>
      </c>
      <c r="G102" s="2" t="inlineStr">
        <is>
          <t>R3a</t>
        </is>
      </c>
      <c r="H102" s="2" t="n">
        <v>5</v>
      </c>
      <c r="I102" s="2" t="inlineStr">
        <is>
          <t>no</t>
        </is>
      </c>
      <c r="J102" s="2" t="inlineStr">
        <is>
          <t>yes</t>
        </is>
      </c>
      <c r="K102" s="2" t="inlineStr">
        <is>
          <t>acl-n19-1423-bert.pdf</t>
        </is>
      </c>
      <c r="L102" s="2" t="inlineStr">
        <is>
          <t>Language Understanding &gt; 4 Experiments &gt; 4.1 GLUE</t>
        </is>
      </c>
      <c r="M102" s="2" t="inlineStr">
        <is>
          <t xml:space="preserve"> 85.8 88.9 66.4 79.6 BERTLARGE 86.7/85.9 72.1 92.7 94.9 60.5 86.5 89.3 70.1 82.1
Table 1: GLUE Test results, scored by the evaluation server (https://gluebenchmark.com/leaderboard).
The number below each task denotes the number of training examples.</t>
        </is>
      </c>
    </row>
    <row r="103">
      <c r="A103" s="2" t="inlineStr">
        <is>
          <t>R3a</t>
        </is>
      </c>
      <c r="B103" s="2" t="inlineStr">
        <is>
          <t>F1</t>
        </is>
      </c>
      <c r="C103" s="2" t="inlineStr">
        <is>
          <t>f1-q4</t>
        </is>
      </c>
      <c r="D103" s="2" t="inlineStr">
        <is>
          <t>Which corpora were used to pre-train BERT?</t>
        </is>
      </c>
      <c r="E103" s="2" t="inlineStr">
        <is>
          <t>text</t>
        </is>
      </c>
      <c r="F103" s="2" t="inlineStr">
        <is>
          <t>bookscorpus (800m words)</t>
        </is>
      </c>
      <c r="G103" s="2" t="inlineStr">
        <is>
          <t>R3a</t>
        </is>
      </c>
      <c r="H103" s="2" t="n">
        <v>1</v>
      </c>
      <c r="I103" s="2" t="inlineStr">
        <is>
          <t>yes</t>
        </is>
      </c>
      <c r="J103" s="2" t="inlineStr">
        <is>
          <t>yes</t>
        </is>
      </c>
      <c r="K103" s="2" t="inlineStr">
        <is>
          <t>acl-n19-1423-bert.pdf</t>
        </is>
      </c>
      <c r="L103" s="2" t="inlineStr">
        <is>
          <t>Language Understanding &gt; 3 BERT &gt; 3.1 Pre-training BERT</t>
        </is>
      </c>
      <c r="M103" s="2" t="inlineStr">
        <is>
          <t xml:space="preserve">ks, where BERT transfers all parameters to initialize end-task model parameters.
Pre-training data The pre-training procedure largely follows the existing literature on language model pre-training. For the pre-training corpus we use the BooksCorpus </t>
        </is>
      </c>
    </row>
    <row r="104">
      <c r="A104" s="2" t="inlineStr">
        <is>
          <t>R3a</t>
        </is>
      </c>
      <c r="B104" s="2" t="inlineStr">
        <is>
          <t>F1</t>
        </is>
      </c>
      <c r="C104" s="2" t="inlineStr">
        <is>
          <t>f1-q5</t>
        </is>
      </c>
      <c r="D104" s="2" t="inlineStr">
        <is>
          <t>What SQuAD v1.1 Test F1 did BERT achieve?</t>
        </is>
      </c>
      <c r="E104" s="2" t="inlineStr">
        <is>
          <t>text</t>
        </is>
      </c>
      <c r="F104" s="2" t="inlineStr">
        <is>
          <t>93.2</t>
        </is>
      </c>
      <c r="G104" s="2" t="inlineStr">
        <is>
          <t>R3a</t>
        </is>
      </c>
      <c r="H104" s="2" t="n">
        <v>2</v>
      </c>
      <c r="I104" s="2" t="inlineStr">
        <is>
          <t>no</t>
        </is>
      </c>
      <c r="J104" s="2" t="inlineStr">
        <is>
          <t>yes</t>
        </is>
      </c>
      <c r="K104" s="2" t="inlineStr">
        <is>
          <t>acl-n19-1423-bert.pdf</t>
        </is>
      </c>
      <c r="L104" s="2" t="inlineStr">
        <is>
          <t>Language Understanding &gt; 4 Experiments &gt; 4.2 SQuAD v1.1</t>
        </is>
      </c>
      <c r="M104" s="2" t="inlineStr">
        <is>
          <t xml:space="preserve">rst ﬁne-tuning on TriviaQA (Joshi
et al., 2017) befor ﬁne-tuning on SQuAD.
Our best performing system outperforms the top leaderboard system by +1.5 F1 in ensembling and +1.3 F1 as a single system. In fact, our single BERT model outperforms the top </t>
        </is>
      </c>
    </row>
    <row r="105">
      <c r="A105" s="2" t="inlineStr">
        <is>
          <t>R3a</t>
        </is>
      </c>
      <c r="B105" s="2" t="inlineStr">
        <is>
          <t>F1</t>
        </is>
      </c>
      <c r="C105" s="2" t="inlineStr">
        <is>
          <t>f1-q6</t>
        </is>
      </c>
      <c r="D105" s="2" t="inlineStr">
        <is>
          <t>How many total parameters does BERT-large have?</t>
        </is>
      </c>
      <c r="E105" s="2" t="inlineStr">
        <is>
          <t>text</t>
        </is>
      </c>
      <c r="F105" s="2" t="inlineStr">
        <is>
          <t>total parameters=340m</t>
        </is>
      </c>
      <c r="G105" s="2" t="inlineStr">
        <is>
          <t>R3a</t>
        </is>
      </c>
      <c r="H105" s="2" t="n">
        <v>2</v>
      </c>
      <c r="I105" s="2" t="inlineStr">
        <is>
          <t>no</t>
        </is>
      </c>
      <c r="J105" s="2" t="inlineStr">
        <is>
          <t>yes</t>
        </is>
      </c>
      <c r="K105" s="2" t="inlineStr">
        <is>
          <t>acl-n19-1423-bert.pdf</t>
        </is>
      </c>
      <c r="L105" s="2" t="inlineStr">
        <is>
          <t>Language Understanding &gt; 5 Ablation Studies &gt; 5.2 Effect of Model Size</t>
        </is>
      </c>
      <c r="M105" s="2" t="inlineStr">
        <is>
          <t>e literature is (L=64, H=512, A=2) with 235M parameters (Al-Rfou et al., 2018). 
By contrast, BERTBASE contains 110M parameters and BERTLARGE contains 340M parameters.
It has long been known that increasing the model size will lead to continual imp</t>
        </is>
      </c>
    </row>
    <row r="106">
      <c r="A106" s="2" t="inlineStr">
        <is>
          <t>R3a</t>
        </is>
      </c>
      <c r="B106" s="2" t="inlineStr">
        <is>
          <t>F1</t>
        </is>
      </c>
      <c r="C106" s="2" t="inlineStr">
        <is>
          <t>f1-q7</t>
        </is>
      </c>
      <c r="D106" s="2" t="inlineStr">
        <is>
          <t>How many GPUs were used to train GPT-4?</t>
        </is>
      </c>
      <c r="E106" s="2" t="inlineStr">
        <is>
          <t>unanswerable</t>
        </is>
      </c>
      <c r="F106" s="2" t="inlineStr">
        <is>
          <t>(not in source)</t>
        </is>
      </c>
      <c r="G106" s="2" t="inlineStr">
        <is>
          <t>R3a</t>
        </is>
      </c>
      <c r="H106" s="2" t="n"/>
      <c r="I106" s="2" t="inlineStr">
        <is>
          <t>n/a</t>
        </is>
      </c>
      <c r="J106" s="2" t="inlineStr">
        <is>
          <t>n/a</t>
        </is>
      </c>
      <c r="K106" s="2" t="inlineStr">
        <is>
          <t>acl-n19-1423-bert.pdf</t>
        </is>
      </c>
      <c r="L106" s="2" t="inlineStr">
        <is>
          <t>Language Understanding &gt; 5 Ablation Studies &gt; 5.2 Effect of Model Size</t>
        </is>
      </c>
      <c r="M106" s="2" t="inlineStr">
        <is>
          <t>Results on selected GLUE tasks are shown in Table 6. In this table, we report the average Dev Set accuracy from 5 random restarts of ﬁne-tuning. We can see that larger models lead to a strict accuracy improvement across all four datasets, even for MR</t>
        </is>
      </c>
    </row>
    <row r="107">
      <c r="A107" s="2" t="inlineStr">
        <is>
          <t>R3a</t>
        </is>
      </c>
      <c r="B107" s="2" t="inlineStr">
        <is>
          <t>F2</t>
        </is>
      </c>
      <c r="C107" s="2" t="inlineStr">
        <is>
          <t>f2-q1</t>
        </is>
      </c>
      <c r="D107" s="2" t="inlineStr">
        <is>
          <t>What was real median household income in the United States in 2022?</t>
        </is>
      </c>
      <c r="E107" s="2" t="inlineStr">
        <is>
          <t>text</t>
        </is>
      </c>
      <c r="F107" s="2" t="inlineStr">
        <is>
          <t>$74,580</t>
        </is>
      </c>
      <c r="G107" s="2" t="inlineStr">
        <is>
          <t>R3a</t>
        </is>
      </c>
      <c r="H107" s="2" t="n">
        <v>1</v>
      </c>
      <c r="I107" s="2" t="inlineStr">
        <is>
          <t>yes</t>
        </is>
      </c>
      <c r="J107" s="2" t="inlineStr">
        <is>
          <t>yes</t>
        </is>
      </c>
      <c r="K107" s="2" t="inlineStr">
        <is>
          <t>census-p60-279.pdf</t>
        </is>
      </c>
      <c r="L107" s="2" t="inlineStr">
        <is>
          <t>Income in the United States: 2022 &gt; HOUSEHOLD INCOME BY SELECTED CHARACTERISTICS &gt; All Households</t>
        </is>
      </c>
      <c r="M107" s="2" t="inlineStr">
        <is>
          <t>All Households
Real median household income 
was $74,580 in 2022, 2.3 percent 
lower than the 2021 estimate of 
$76,330. It was 4.7 percent lower 
than the 2019 median, the year 
before the start of the COVID-19 
pandemic and the corresponding 
rece</t>
        </is>
      </c>
    </row>
    <row r="108">
      <c r="A108" s="2" t="inlineStr">
        <is>
          <t>R3a</t>
        </is>
      </c>
      <c r="B108" s="2" t="inlineStr">
        <is>
          <t>F2</t>
        </is>
      </c>
      <c r="C108" s="2" t="inlineStr">
        <is>
          <t>f2-q2</t>
        </is>
      </c>
      <c r="D108" s="2" t="inlineStr">
        <is>
          <t>By how much did real median household income change between 2021 and 2022?</t>
        </is>
      </c>
      <c r="E108" s="2" t="inlineStr">
        <is>
          <t>text</t>
        </is>
      </c>
      <c r="F108" s="2" t="inlineStr">
        <is>
          <t>2.3 percent</t>
        </is>
      </c>
      <c r="G108" s="2" t="inlineStr">
        <is>
          <t>R3a</t>
        </is>
      </c>
      <c r="H108" s="2" t="n">
        <v>2</v>
      </c>
      <c r="I108" s="2" t="inlineStr">
        <is>
          <t>no</t>
        </is>
      </c>
      <c r="J108" s="2" t="inlineStr">
        <is>
          <t>yes</t>
        </is>
      </c>
      <c r="K108" s="2" t="inlineStr">
        <is>
          <t>census-p60-279.pdf</t>
        </is>
      </c>
      <c r="L108" s="2" t="inlineStr">
        <is>
          <t>Income in the United States: 2022 &gt; HOUSEHOLD INCOME BY SELECTED CHARACTERISTICS &gt; Change: 2021 to 2022
2022 Median Income</t>
        </is>
      </c>
      <c r="M108" s="2" t="inlineStr">
        <is>
          <t>Change: 2021 to 2022
2022 Median Income</t>
        </is>
      </c>
    </row>
    <row r="109">
      <c r="A109" s="2" t="inlineStr">
        <is>
          <t>R3a</t>
        </is>
      </c>
      <c r="B109" s="2" t="inlineStr">
        <is>
          <t>F2</t>
        </is>
      </c>
      <c r="C109" s="2" t="inlineStr">
        <is>
          <t>f2-q3</t>
        </is>
      </c>
      <c r="D109" s="2" t="inlineStr">
        <is>
          <t>How did the money income Gini index change between 2021 and 2022?</t>
        </is>
      </c>
      <c r="E109" s="2" t="inlineStr">
        <is>
          <t>text</t>
        </is>
      </c>
      <c r="F109" s="2" t="inlineStr">
        <is>
          <t>from 0.494 to 0.488</t>
        </is>
      </c>
      <c r="G109" s="2" t="inlineStr">
        <is>
          <t>R3a</t>
        </is>
      </c>
      <c r="H109" s="2" t="n">
        <v>1</v>
      </c>
      <c r="I109" s="2" t="inlineStr">
        <is>
          <t>yes</t>
        </is>
      </c>
      <c r="J109" s="2" t="inlineStr">
        <is>
          <t>yes</t>
        </is>
      </c>
      <c r="K109" s="2" t="inlineStr">
        <is>
          <t>census-p60-279.pdf</t>
        </is>
      </c>
      <c r="L109" s="2" t="inlineStr">
        <is>
          <t>Income in the United States: 2022 &gt; HOUSEHOLD INCOME BY SELECTED CHARACTERISTICS &gt; Money Income Inequality27</t>
        </is>
      </c>
      <c r="M109" s="2" t="inlineStr">
        <is>
          <t>Money Income Inequality27
The Gini index is a statistical mea sure of income inequality ranging 
from 0.0 to 1.0. It measures the 
amount that any two incomes 
differ, on average, relative to 
mean income. It is an indicator 
of how far apart or “sp</t>
        </is>
      </c>
    </row>
    <row r="110">
      <c r="A110" s="2" t="inlineStr">
        <is>
          <t>R3a</t>
        </is>
      </c>
      <c r="B110" s="2" t="inlineStr">
        <is>
          <t>F2</t>
        </is>
      </c>
      <c r="C110" s="2" t="inlineStr">
        <is>
          <t>f2-q4</t>
        </is>
      </c>
      <c r="D110" s="2" t="inlineStr">
        <is>
          <t>What was the median income of married-couple households in 2022 according to Table A-1?</t>
        </is>
      </c>
      <c r="E110" s="2" t="inlineStr">
        <is>
          <t>table</t>
        </is>
      </c>
      <c r="F110" s="2" t="inlineStr">
        <is>
          <t>married-couple + 110,800</t>
        </is>
      </c>
      <c r="G110" s="2" t="inlineStr">
        <is>
          <t>R3a</t>
        </is>
      </c>
      <c r="H110" s="2" t="n"/>
      <c r="I110" s="2" t="inlineStr">
        <is>
          <t>no</t>
        </is>
      </c>
      <c r="J110" s="2" t="inlineStr">
        <is>
          <t>no</t>
        </is>
      </c>
      <c r="K110" s="2" t="inlineStr">
        <is>
          <t>census-p60-279.pdf</t>
        </is>
      </c>
      <c r="L110" s="2" t="inlineStr">
        <is>
          <t>Income in the United States: 2022 &gt; HOUSEHOLD INCOME BY SELECTED CHARACTERISTICS &gt; Type of Household8</t>
        </is>
      </c>
      <c r="M110" s="2" t="inlineStr">
        <is>
          <t>Type of Household8
The 2022 real median income of 
family households declined by 
2.9 percent from 2021, and the 
real median income of marriedcouple families declined by 3.9 
percent. Among family house holds, married couples had the 
highest media</t>
        </is>
      </c>
    </row>
    <row r="111">
      <c r="A111" s="2" t="inlineStr">
        <is>
          <t>R3a</t>
        </is>
      </c>
      <c r="B111" s="2" t="inlineStr">
        <is>
          <t>F2</t>
        </is>
      </c>
      <c r="C111" s="2" t="inlineStr">
        <is>
          <t>f2-q5</t>
        </is>
      </c>
      <c r="D111" s="2" t="inlineStr">
        <is>
          <t>What was the median income of family households in 2022 according to Table A-1?</t>
        </is>
      </c>
      <c r="E111" s="2" t="inlineStr">
        <is>
          <t>table</t>
        </is>
      </c>
      <c r="F111" s="2" t="inlineStr">
        <is>
          <t>family households + 95,450</t>
        </is>
      </c>
      <c r="G111" s="2" t="inlineStr">
        <is>
          <t>R3a</t>
        </is>
      </c>
      <c r="H111" s="2" t="n"/>
      <c r="I111" s="2" t="inlineStr">
        <is>
          <t>no</t>
        </is>
      </c>
      <c r="J111" s="2" t="inlineStr">
        <is>
          <t>no</t>
        </is>
      </c>
      <c r="K111" s="2" t="inlineStr">
        <is>
          <t>census-p60-279.pdf</t>
        </is>
      </c>
      <c r="L111" s="2" t="inlineStr">
        <is>
          <t>Income in the United States: 2022 &gt; HOUSEHOLD INCOME BY SELECTED CHARACTERISTICS &gt; Type of Household8</t>
        </is>
      </c>
      <c r="M111" s="2" t="inlineStr">
        <is>
          <t>Type of Household8
The 2022 real median income of 
family households declined by 
2.9 percent from 2021, and the 
real median income of marriedcouple families declined by 3.9 
percent. Among family house holds, married couples had the 
highest media</t>
        </is>
      </c>
    </row>
    <row r="112">
      <c r="A112" s="2" t="inlineStr">
        <is>
          <t>R3a</t>
        </is>
      </c>
      <c r="B112" s="2" t="inlineStr">
        <is>
          <t>F2</t>
        </is>
      </c>
      <c r="C112" s="2" t="inlineStr">
        <is>
          <t>f2-q6</t>
        </is>
      </c>
      <c r="D112" s="2" t="inlineStr">
        <is>
          <t>What was the median income of nonfamily households in 2022 according to Table A-1?</t>
        </is>
      </c>
      <c r="E112" s="2" t="inlineStr">
        <is>
          <t>table</t>
        </is>
      </c>
      <c r="F112" s="2" t="inlineStr">
        <is>
          <t>nonfamily households + 45,440</t>
        </is>
      </c>
      <c r="G112" s="2" t="inlineStr">
        <is>
          <t>R3a</t>
        </is>
      </c>
      <c r="H112" s="2" t="n">
        <v>1</v>
      </c>
      <c r="I112" s="2" t="inlineStr">
        <is>
          <t>yes</t>
        </is>
      </c>
      <c r="J112" s="2" t="inlineStr">
        <is>
          <t>yes</t>
        </is>
      </c>
      <c r="K112" s="2" t="inlineStr">
        <is>
          <t>census-p60-279.pdf</t>
        </is>
      </c>
      <c r="L112" s="2" t="inlineStr">
        <is>
          <t>Income in the United States: 2022 &gt; HOUSEHOLD INCOME BY SELECTED CHARACTERISTICS &gt; Type of Household8</t>
        </is>
      </c>
      <c r="M112" s="2" t="inlineStr">
        <is>
          <t xml:space="preserve">an 
income between these groups and 
non-Hispanic White households 
decreased.12
Nonfamily households had a 
median income of $45,440 in 
2022, which was not significantly 
different from 2021 (Figure 1 and 
Table A-1). Nonfamily house holds with a </t>
        </is>
      </c>
    </row>
    <row r="113">
      <c r="A113" s="2" t="inlineStr">
        <is>
          <t>R3a</t>
        </is>
      </c>
      <c r="B113" s="2" t="inlineStr">
        <is>
          <t>F2</t>
        </is>
      </c>
      <c r="C113" s="2" t="inlineStr">
        <is>
          <t>f2-q7</t>
        </is>
      </c>
      <c r="D113" s="2" t="inlineStr">
        <is>
          <t>What was the median household income in Canada in 2022?</t>
        </is>
      </c>
      <c r="E113" s="2" t="inlineStr">
        <is>
          <t>unanswerable</t>
        </is>
      </c>
      <c r="F113" s="2" t="inlineStr">
        <is>
          <t>(not in source)</t>
        </is>
      </c>
      <c r="G113" s="2" t="inlineStr">
        <is>
          <t>R3a</t>
        </is>
      </c>
      <c r="H113" s="2" t="n"/>
      <c r="I113" s="2" t="inlineStr">
        <is>
          <t>n/a</t>
        </is>
      </c>
      <c r="J113" s="2" t="inlineStr">
        <is>
          <t>n/a</t>
        </is>
      </c>
      <c r="K113" s="2" t="inlineStr">
        <is>
          <t>census-p60-279.pdf</t>
        </is>
      </c>
      <c r="L113" s="2" t="inlineStr">
        <is>
          <t>Income in the United States: 2022 &gt; HOUSEHOLD INCOME BY SELECTED CHARACTERISTICS &gt; All Households</t>
        </is>
      </c>
      <c r="M113" s="2" t="inlineStr">
        <is>
          <t>All Households
Real median household income 
was $74,580 in 2022, 2.3 percent 
lower than the 2021 estimate of 
$76,330. It was 4.7 percent lower 
than the 2019 median, the year 
before the start of the COVID-19 
pandemic and the corresponding 
rece</t>
        </is>
      </c>
    </row>
    <row r="114">
      <c r="A114" s="2" t="inlineStr">
        <is>
          <t>R3a</t>
        </is>
      </c>
      <c r="B114" s="2" t="inlineStr">
        <is>
          <t>F3</t>
        </is>
      </c>
      <c r="C114" s="2" t="inlineStr">
        <is>
          <t>f3-q1</t>
        </is>
      </c>
      <c r="D114" s="2" t="inlineStr">
        <is>
          <t>How many television pictures does Part III of the Surveyor VI report present?</t>
        </is>
      </c>
      <c r="E114" s="2" t="inlineStr">
        <is>
          <t>ocr</t>
        </is>
      </c>
      <c r="F114" s="2" t="inlineStr">
        <is>
          <t>139 of the total number</t>
        </is>
      </c>
      <c r="G114" s="2" t="inlineStr">
        <is>
          <t>R3a</t>
        </is>
      </c>
      <c r="H114" s="2" t="n">
        <v>1</v>
      </c>
      <c r="I114" s="2" t="inlineStr">
        <is>
          <t>yes</t>
        </is>
      </c>
      <c r="J114" s="2" t="inlineStr">
        <is>
          <t>yes</t>
        </is>
      </c>
      <c r="K114" s="2" t="inlineStr">
        <is>
          <t>surveyor-vi-tv-scan.pdf</t>
        </is>
      </c>
      <c r="L114" s="2" t="inlineStr"/>
      <c r="M114"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115">
      <c r="A115" s="2" t="inlineStr">
        <is>
          <t>R3a</t>
        </is>
      </c>
      <c r="B115" s="2" t="inlineStr">
        <is>
          <t>F3</t>
        </is>
      </c>
      <c r="C115" s="2" t="inlineStr">
        <is>
          <t>f3-q2</t>
        </is>
      </c>
      <c r="D115" s="2" t="inlineStr">
        <is>
          <t>Between which dates were the Surveyor VI television pictures transmitted?</t>
        </is>
      </c>
      <c r="E115" s="2" t="inlineStr">
        <is>
          <t>ocr</t>
        </is>
      </c>
      <c r="F115" s="2" t="inlineStr">
        <is>
          <t>november 10 and november 24, 1967</t>
        </is>
      </c>
      <c r="G115" s="2" t="inlineStr">
        <is>
          <t>R3a</t>
        </is>
      </c>
      <c r="H115" s="2" t="n">
        <v>1</v>
      </c>
      <c r="I115" s="2" t="inlineStr">
        <is>
          <t>yes</t>
        </is>
      </c>
      <c r="J115" s="2" t="inlineStr">
        <is>
          <t>yes</t>
        </is>
      </c>
      <c r="K115" s="2" t="inlineStr">
        <is>
          <t>surveyor-vi-tv-scan.pdf</t>
        </is>
      </c>
      <c r="L115" s="2" t="inlineStr"/>
      <c r="M115"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116">
      <c r="A116" s="2" t="inlineStr">
        <is>
          <t>R3a</t>
        </is>
      </c>
      <c r="B116" s="2" t="inlineStr">
        <is>
          <t>F3</t>
        </is>
      </c>
      <c r="C116" s="2" t="inlineStr">
        <is>
          <t>f3-q3</t>
        </is>
      </c>
      <c r="D116" s="2" t="inlineStr">
        <is>
          <t>How many mosaics are included in Part III?</t>
        </is>
      </c>
      <c r="E116" s="2" t="inlineStr">
        <is>
          <t>ocr</t>
        </is>
      </c>
      <c r="F116" s="2" t="inlineStr">
        <is>
          <t>46 mosaics</t>
        </is>
      </c>
      <c r="G116" s="2" t="inlineStr">
        <is>
          <t>R3a</t>
        </is>
      </c>
      <c r="H116" s="2" t="n">
        <v>1</v>
      </c>
      <c r="I116" s="2" t="inlineStr">
        <is>
          <t>yes</t>
        </is>
      </c>
      <c r="J116" s="2" t="inlineStr">
        <is>
          <t>yes</t>
        </is>
      </c>
      <c r="K116" s="2" t="inlineStr">
        <is>
          <t>surveyor-vi-tv-scan.pdf</t>
        </is>
      </c>
      <c r="L116" s="2" t="inlineStr"/>
      <c r="M116"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117">
      <c r="A117" s="2" t="inlineStr">
        <is>
          <t>R3a</t>
        </is>
      </c>
      <c r="B117" s="2" t="inlineStr">
        <is>
          <t>F3</t>
        </is>
      </c>
      <c r="C117" s="2" t="inlineStr">
        <is>
          <t>f3-q4</t>
        </is>
      </c>
      <c r="D117" s="2" t="inlineStr">
        <is>
          <t>What is the mass of the Surveyor survey TV camera?</t>
        </is>
      </c>
      <c r="E117" s="2" t="inlineStr">
        <is>
          <t>ocr</t>
        </is>
      </c>
      <c r="F117" s="2" t="inlineStr">
        <is>
          <t>7.3-kg camera</t>
        </is>
      </c>
      <c r="G117" s="2" t="inlineStr">
        <is>
          <t>R3a</t>
        </is>
      </c>
      <c r="H117" s="2" t="n">
        <v>3</v>
      </c>
      <c r="I117" s="2" t="inlineStr">
        <is>
          <t>no</t>
        </is>
      </c>
      <c r="J117" s="2" t="inlineStr">
        <is>
          <t>yes</t>
        </is>
      </c>
      <c r="K117" s="2" t="inlineStr">
        <is>
          <t>surveyor-vi-tv-scan.pdf</t>
        </is>
      </c>
      <c r="L117" s="2" t="inlineStr"/>
      <c r="M117" s="2" t="inlineStr">
        <is>
          <t>Il. Television Subsystem M. I. Smokler
The Surveyor TV system is designed to obtain video pictures of the lunar surface, lunar sky, and portions of the landed spacecraft. It includes a survey camera capable of panoramic viewing, and a TV auxiliary t</t>
        </is>
      </c>
    </row>
    <row r="118">
      <c r="A118" s="2" t="inlineStr">
        <is>
          <t>R3a</t>
        </is>
      </c>
      <c r="B118" s="2" t="inlineStr">
        <is>
          <t>F3</t>
        </is>
      </c>
      <c r="C118" s="2" t="inlineStr">
        <is>
          <t>f3-q5</t>
        </is>
      </c>
      <c r="D118" s="2" t="inlineStr">
        <is>
          <t>Over what range can the Surveyor TV camera focus?</t>
        </is>
      </c>
      <c r="E118" s="2" t="inlineStr">
        <is>
          <t>ocr</t>
        </is>
      </c>
      <c r="F118" s="2" t="inlineStr">
        <is>
          <t>1.22 m to infinity</t>
        </is>
      </c>
      <c r="G118" s="2" t="inlineStr">
        <is>
          <t>R3a</t>
        </is>
      </c>
      <c r="H118" s="2" t="n">
        <v>4</v>
      </c>
      <c r="I118" s="2" t="inlineStr">
        <is>
          <t>no</t>
        </is>
      </c>
      <c r="J118" s="2" t="inlineStr">
        <is>
          <t>yes</t>
        </is>
      </c>
      <c r="K118" s="2" t="inlineStr">
        <is>
          <t>surveyor-vi-tv-scan.pdf</t>
        </is>
      </c>
      <c r="L118" s="2" t="inlineStr"/>
      <c r="M118" s="2" t="inlineStr">
        <is>
          <t xml:space="preserve"> was capable of providing either a
Fig. II-5. Variable-focal-length lens assembly
100-mm or 25-mm focal length, resulting in a vertical field of view of approximately 6.43 or 25.3 deg, respectively, as measured by the angular subtense of the vertic</t>
        </is>
      </c>
    </row>
    <row r="119">
      <c r="A119" s="2" t="inlineStr">
        <is>
          <t>R3a</t>
        </is>
      </c>
      <c r="B119" s="2" t="inlineStr">
        <is>
          <t>F3</t>
        </is>
      </c>
      <c r="C119" s="2" t="inlineStr">
        <is>
          <t>f3-q6</t>
        </is>
      </c>
      <c r="D119" s="2" t="inlineStr">
        <is>
          <t>What scene luminance range is the Surveyor camera designed to accommodate?</t>
        </is>
      </c>
      <c r="E119" s="2" t="inlineStr">
        <is>
          <t>ocr</t>
        </is>
      </c>
      <c r="F119" s="2" t="inlineStr">
        <is>
          <t>0.008 to 2600 ft-l</t>
        </is>
      </c>
      <c r="G119" s="2" t="inlineStr">
        <is>
          <t>R3a</t>
        </is>
      </c>
      <c r="H119" s="2" t="n">
        <v>1</v>
      </c>
      <c r="I119" s="2" t="inlineStr">
        <is>
          <t>yes</t>
        </is>
      </c>
      <c r="J119" s="2" t="inlineStr">
        <is>
          <t>yes</t>
        </is>
      </c>
      <c r="K119" s="2" t="inlineStr">
        <is>
          <t>surveyor-vi-tv-scan.pdf</t>
        </is>
      </c>
      <c r="L119" s="2" t="inlineStr"/>
      <c r="M119" s="2" t="inlineStr">
        <is>
          <t>tification signals and to provide appropriate video mixing.
A. Camera Description
The slow-scan survey TV camera, shown in Figs. I-1 and II-2, provides images of the lunar surface over a 360-deg panorama. Each picture, or frame, is imaged through a</t>
        </is>
      </c>
    </row>
    <row r="120">
      <c r="A120" s="2" t="inlineStr">
        <is>
          <t>R3a</t>
        </is>
      </c>
      <c r="B120" s="2" t="inlineStr">
        <is>
          <t>F3</t>
        </is>
      </c>
      <c r="C120" s="2" t="inlineStr">
        <is>
          <t>f3-q7</t>
        </is>
      </c>
      <c r="D120" s="2" t="inlineStr">
        <is>
          <t>Which mission number in the Surveyor series was Surveyor VI?</t>
        </is>
      </c>
      <c r="E120" s="2" t="inlineStr">
        <is>
          <t>ocr</t>
        </is>
      </c>
      <c r="F120" s="2" t="inlineStr">
        <is>
          <t>the sixth in a series of unmanned lunar soft-landing missions</t>
        </is>
      </c>
      <c r="G120" s="2" t="inlineStr">
        <is>
          <t>R3a</t>
        </is>
      </c>
      <c r="H120" s="2" t="n">
        <v>1</v>
      </c>
      <c r="I120" s="2" t="inlineStr">
        <is>
          <t>yes</t>
        </is>
      </c>
      <c r="J120" s="2" t="inlineStr">
        <is>
          <t>yes</t>
        </is>
      </c>
      <c r="K120" s="2" t="inlineStr">
        <is>
          <t>surveyor-vi-tv-scan.pdf</t>
        </is>
      </c>
      <c r="L120" s="2" t="inlineStr"/>
      <c r="M120" s="2" t="inlineStr">
        <is>
          <t>Preface
This three-part document constitutes the Project Mission Report on Surveyor VI, the sixth in a series of unmanned lunar soft-landing missions.
Part I of this Technical Report consists of a technical description and an evaluation of engineer</t>
        </is>
      </c>
    </row>
    <row r="121">
      <c r="A121" s="2" t="inlineStr">
        <is>
          <t>R3a</t>
        </is>
      </c>
      <c r="B121" s="2" t="inlineStr">
        <is>
          <t>F3</t>
        </is>
      </c>
      <c r="C121" s="2" t="inlineStr">
        <is>
          <t>f3-q8</t>
        </is>
      </c>
      <c r="D121" s="2" t="inlineStr">
        <is>
          <t>What was the landing site latitude of Surveyor VII?</t>
        </is>
      </c>
      <c r="E121" s="2" t="inlineStr">
        <is>
          <t>unanswerable</t>
        </is>
      </c>
      <c r="F121" s="2" t="inlineStr">
        <is>
          <t>(not in source)</t>
        </is>
      </c>
      <c r="G121" s="2" t="inlineStr">
        <is>
          <t>R3a</t>
        </is>
      </c>
      <c r="H121" s="2" t="n"/>
      <c r="I121" s="2" t="inlineStr">
        <is>
          <t>n/a</t>
        </is>
      </c>
      <c r="J121" s="2" t="inlineStr">
        <is>
          <t>n/a</t>
        </is>
      </c>
      <c r="K121" s="2" t="inlineStr">
        <is>
          <t>surveyor-vi-tv-scan.pdf</t>
        </is>
      </c>
      <c r="L121" s="2" t="inlineStr"/>
      <c r="M121" s="2" t="inlineStr">
        <is>
          <t>Preface
This three-part document constitutes the Project Mission Report on Surveyor VI, the sixth in a series of unmanned lunar soft-landing missions.
Part I of this Technical Report consists of a technical description and an evaluation of engineer</t>
        </is>
      </c>
    </row>
    <row r="122">
      <c r="A122" s="2" t="inlineStr">
        <is>
          <t>R3b</t>
        </is>
      </c>
      <c r="B122" s="2" t="inlineStr">
        <is>
          <t>F1</t>
        </is>
      </c>
      <c r="C122" s="2" t="inlineStr">
        <is>
          <t>f1-q1</t>
        </is>
      </c>
      <c r="D122" s="2" t="inlineStr">
        <is>
          <t>What are the layer, hidden size and attention head settings of BERT-base?</t>
        </is>
      </c>
      <c r="E122" s="2" t="inlineStr">
        <is>
          <t>text</t>
        </is>
      </c>
      <c r="F122" s="2" t="inlineStr">
        <is>
          <t>l=12, h=768, a=12</t>
        </is>
      </c>
      <c r="G122" s="2" t="inlineStr">
        <is>
          <t>no index</t>
        </is>
      </c>
      <c r="H122" s="2" t="n"/>
      <c r="I122" s="2" t="inlineStr">
        <is>
          <t>no</t>
        </is>
      </c>
      <c r="J122" s="2" t="inlineStr">
        <is>
          <t>no</t>
        </is>
      </c>
      <c r="K122" s="2" t="n"/>
      <c r="L122" s="2" t="n"/>
      <c r="M122" s="2" t="inlineStr"/>
    </row>
    <row r="123">
      <c r="A123" s="2" t="inlineStr">
        <is>
          <t>R3b</t>
        </is>
      </c>
      <c r="B123" s="2" t="inlineStr">
        <is>
          <t>F1</t>
        </is>
      </c>
      <c r="C123" s="2" t="inlineStr">
        <is>
          <t>f1-q2</t>
        </is>
      </c>
      <c r="D123" s="2" t="inlineStr">
        <is>
          <t>What percentage of WordPiece tokens does BERT mask during pre-training?</t>
        </is>
      </c>
      <c r="E123" s="2" t="inlineStr">
        <is>
          <t>text</t>
        </is>
      </c>
      <c r="F123" s="2" t="inlineStr">
        <is>
          <t>15% of all wordpiece</t>
        </is>
      </c>
      <c r="G123" s="2" t="inlineStr">
        <is>
          <t>no index</t>
        </is>
      </c>
      <c r="H123" s="2" t="n"/>
      <c r="I123" s="2" t="inlineStr">
        <is>
          <t>no</t>
        </is>
      </c>
      <c r="J123" s="2" t="inlineStr">
        <is>
          <t>no</t>
        </is>
      </c>
      <c r="K123" s="2" t="n"/>
      <c r="L123" s="2" t="n"/>
      <c r="M123" s="2" t="inlineStr"/>
    </row>
    <row r="124">
      <c r="A124" s="2" t="inlineStr">
        <is>
          <t>R3b</t>
        </is>
      </c>
      <c r="B124" s="2" t="inlineStr">
        <is>
          <t>F1</t>
        </is>
      </c>
      <c r="C124" s="2" t="inlineStr">
        <is>
          <t>f1-q3</t>
        </is>
      </c>
      <c r="D124" s="2" t="inlineStr">
        <is>
          <t>What GLUE score did BERT reach?</t>
        </is>
      </c>
      <c r="E124" s="2" t="inlineStr">
        <is>
          <t>text</t>
        </is>
      </c>
      <c r="F124" s="2" t="inlineStr">
        <is>
          <t>glue score to 80.5%</t>
        </is>
      </c>
      <c r="G124" s="2" t="inlineStr">
        <is>
          <t>no index</t>
        </is>
      </c>
      <c r="H124" s="2" t="n"/>
      <c r="I124" s="2" t="inlineStr">
        <is>
          <t>no</t>
        </is>
      </c>
      <c r="J124" s="2" t="inlineStr">
        <is>
          <t>no</t>
        </is>
      </c>
      <c r="K124" s="2" t="n"/>
      <c r="L124" s="2" t="n"/>
      <c r="M124" s="2" t="inlineStr"/>
    </row>
    <row r="125">
      <c r="A125" s="2" t="inlineStr">
        <is>
          <t>R3b</t>
        </is>
      </c>
      <c r="B125" s="2" t="inlineStr">
        <is>
          <t>F1</t>
        </is>
      </c>
      <c r="C125" s="2" t="inlineStr">
        <is>
          <t>f1-q4</t>
        </is>
      </c>
      <c r="D125" s="2" t="inlineStr">
        <is>
          <t>Which corpora were used to pre-train BERT?</t>
        </is>
      </c>
      <c r="E125" s="2" t="inlineStr">
        <is>
          <t>text</t>
        </is>
      </c>
      <c r="F125" s="2" t="inlineStr">
        <is>
          <t>bookscorpus (800m words)</t>
        </is>
      </c>
      <c r="G125" s="2" t="inlineStr">
        <is>
          <t>no index</t>
        </is>
      </c>
      <c r="H125" s="2" t="n"/>
      <c r="I125" s="2" t="inlineStr">
        <is>
          <t>no</t>
        </is>
      </c>
      <c r="J125" s="2" t="inlineStr">
        <is>
          <t>no</t>
        </is>
      </c>
      <c r="K125" s="2" t="n"/>
      <c r="L125" s="2" t="n"/>
      <c r="M125" s="2" t="inlineStr"/>
    </row>
    <row r="126">
      <c r="A126" s="2" t="inlineStr">
        <is>
          <t>R3b</t>
        </is>
      </c>
      <c r="B126" s="2" t="inlineStr">
        <is>
          <t>F1</t>
        </is>
      </c>
      <c r="C126" s="2" t="inlineStr">
        <is>
          <t>f1-q5</t>
        </is>
      </c>
      <c r="D126" s="2" t="inlineStr">
        <is>
          <t>What SQuAD v1.1 Test F1 did BERT achieve?</t>
        </is>
      </c>
      <c r="E126" s="2" t="inlineStr">
        <is>
          <t>text</t>
        </is>
      </c>
      <c r="F126" s="2" t="inlineStr">
        <is>
          <t>93.2</t>
        </is>
      </c>
      <c r="G126" s="2" t="inlineStr">
        <is>
          <t>no index</t>
        </is>
      </c>
      <c r="H126" s="2" t="n"/>
      <c r="I126" s="2" t="inlineStr">
        <is>
          <t>no</t>
        </is>
      </c>
      <c r="J126" s="2" t="inlineStr">
        <is>
          <t>no</t>
        </is>
      </c>
      <c r="K126" s="2" t="n"/>
      <c r="L126" s="2" t="n"/>
      <c r="M126" s="2" t="inlineStr"/>
    </row>
    <row r="127">
      <c r="A127" s="2" t="inlineStr">
        <is>
          <t>R3b</t>
        </is>
      </c>
      <c r="B127" s="2" t="inlineStr">
        <is>
          <t>F1</t>
        </is>
      </c>
      <c r="C127" s="2" t="inlineStr">
        <is>
          <t>f1-q6</t>
        </is>
      </c>
      <c r="D127" s="2" t="inlineStr">
        <is>
          <t>How many total parameters does BERT-large have?</t>
        </is>
      </c>
      <c r="E127" s="2" t="inlineStr">
        <is>
          <t>text</t>
        </is>
      </c>
      <c r="F127" s="2" t="inlineStr">
        <is>
          <t>total parameters=340m</t>
        </is>
      </c>
      <c r="G127" s="2" t="inlineStr">
        <is>
          <t>no index</t>
        </is>
      </c>
      <c r="H127" s="2" t="n"/>
      <c r="I127" s="2" t="inlineStr">
        <is>
          <t>no</t>
        </is>
      </c>
      <c r="J127" s="2" t="inlineStr">
        <is>
          <t>no</t>
        </is>
      </c>
      <c r="K127" s="2" t="n"/>
      <c r="L127" s="2" t="n"/>
      <c r="M127" s="2" t="inlineStr"/>
    </row>
    <row r="128">
      <c r="A128" s="2" t="inlineStr">
        <is>
          <t>R3b</t>
        </is>
      </c>
      <c r="B128" s="2" t="inlineStr">
        <is>
          <t>F1</t>
        </is>
      </c>
      <c r="C128" s="2" t="inlineStr">
        <is>
          <t>f1-q7</t>
        </is>
      </c>
      <c r="D128" s="2" t="inlineStr">
        <is>
          <t>How many GPUs were used to train GPT-4?</t>
        </is>
      </c>
      <c r="E128" s="2" t="inlineStr">
        <is>
          <t>unanswerable</t>
        </is>
      </c>
      <c r="F128" s="2" t="inlineStr">
        <is>
          <t>(not in source)</t>
        </is>
      </c>
      <c r="G128" s="2" t="inlineStr">
        <is>
          <t>no index</t>
        </is>
      </c>
      <c r="H128" s="2" t="n"/>
      <c r="I128" s="2" t="inlineStr">
        <is>
          <t>n/a</t>
        </is>
      </c>
      <c r="J128" s="2" t="inlineStr">
        <is>
          <t>n/a</t>
        </is>
      </c>
      <c r="K128" s="2" t="n"/>
      <c r="L128" s="2" t="n"/>
      <c r="M128" s="2" t="inlineStr"/>
    </row>
    <row r="129">
      <c r="A129" s="2" t="inlineStr">
        <is>
          <t>R3b</t>
        </is>
      </c>
      <c r="B129" s="2" t="inlineStr">
        <is>
          <t>F2</t>
        </is>
      </c>
      <c r="C129" s="2" t="inlineStr">
        <is>
          <t>f2-q1</t>
        </is>
      </c>
      <c r="D129" s="2" t="inlineStr">
        <is>
          <t>What was real median household income in the United States in 2022?</t>
        </is>
      </c>
      <c r="E129" s="2" t="inlineStr">
        <is>
          <t>text</t>
        </is>
      </c>
      <c r="F129" s="2" t="inlineStr">
        <is>
          <t>$74,580</t>
        </is>
      </c>
      <c r="G129" s="2" t="inlineStr">
        <is>
          <t>no index</t>
        </is>
      </c>
      <c r="H129" s="2" t="n"/>
      <c r="I129" s="2" t="inlineStr">
        <is>
          <t>no</t>
        </is>
      </c>
      <c r="J129" s="2" t="inlineStr">
        <is>
          <t>no</t>
        </is>
      </c>
      <c r="K129" s="2" t="n"/>
      <c r="L129" s="2" t="n"/>
      <c r="M129" s="2" t="inlineStr"/>
    </row>
    <row r="130">
      <c r="A130" s="2" t="inlineStr">
        <is>
          <t>R3b</t>
        </is>
      </c>
      <c r="B130" s="2" t="inlineStr">
        <is>
          <t>F2</t>
        </is>
      </c>
      <c r="C130" s="2" t="inlineStr">
        <is>
          <t>f2-q2</t>
        </is>
      </c>
      <c r="D130" s="2" t="inlineStr">
        <is>
          <t>By how much did real median household income change between 2021 and 2022?</t>
        </is>
      </c>
      <c r="E130" s="2" t="inlineStr">
        <is>
          <t>text</t>
        </is>
      </c>
      <c r="F130" s="2" t="inlineStr">
        <is>
          <t>2.3 percent</t>
        </is>
      </c>
      <c r="G130" s="2" t="inlineStr">
        <is>
          <t>no index</t>
        </is>
      </c>
      <c r="H130" s="2" t="n"/>
      <c r="I130" s="2" t="inlineStr">
        <is>
          <t>no</t>
        </is>
      </c>
      <c r="J130" s="2" t="inlineStr">
        <is>
          <t>no</t>
        </is>
      </c>
      <c r="K130" s="2" t="n"/>
      <c r="L130" s="2" t="n"/>
      <c r="M130" s="2" t="inlineStr"/>
    </row>
    <row r="131">
      <c r="A131" s="2" t="inlineStr">
        <is>
          <t>R3b</t>
        </is>
      </c>
      <c r="B131" s="2" t="inlineStr">
        <is>
          <t>F2</t>
        </is>
      </c>
      <c r="C131" s="2" t="inlineStr">
        <is>
          <t>f2-q3</t>
        </is>
      </c>
      <c r="D131" s="2" t="inlineStr">
        <is>
          <t>How did the money income Gini index change between 2021 and 2022?</t>
        </is>
      </c>
      <c r="E131" s="2" t="inlineStr">
        <is>
          <t>text</t>
        </is>
      </c>
      <c r="F131" s="2" t="inlineStr">
        <is>
          <t>from 0.494 to 0.488</t>
        </is>
      </c>
      <c r="G131" s="2" t="inlineStr">
        <is>
          <t>no index</t>
        </is>
      </c>
      <c r="H131" s="2" t="n"/>
      <c r="I131" s="2" t="inlineStr">
        <is>
          <t>no</t>
        </is>
      </c>
      <c r="J131" s="2" t="inlineStr">
        <is>
          <t>no</t>
        </is>
      </c>
      <c r="K131" s="2" t="n"/>
      <c r="L131" s="2" t="n"/>
      <c r="M131" s="2" t="inlineStr"/>
    </row>
    <row r="132">
      <c r="A132" s="2" t="inlineStr">
        <is>
          <t>R3b</t>
        </is>
      </c>
      <c r="B132" s="2" t="inlineStr">
        <is>
          <t>F2</t>
        </is>
      </c>
      <c r="C132" s="2" t="inlineStr">
        <is>
          <t>f2-q4</t>
        </is>
      </c>
      <c r="D132" s="2" t="inlineStr">
        <is>
          <t>What was the median income of married-couple households in 2022 according to Table A-1?</t>
        </is>
      </c>
      <c r="E132" s="2" t="inlineStr">
        <is>
          <t>table</t>
        </is>
      </c>
      <c r="F132" s="2" t="inlineStr">
        <is>
          <t>married-couple + 110,800</t>
        </is>
      </c>
      <c r="G132" s="2" t="inlineStr">
        <is>
          <t>no index</t>
        </is>
      </c>
      <c r="H132" s="2" t="n"/>
      <c r="I132" s="2" t="inlineStr">
        <is>
          <t>no</t>
        </is>
      </c>
      <c r="J132" s="2" t="inlineStr">
        <is>
          <t>no</t>
        </is>
      </c>
      <c r="K132" s="2" t="n"/>
      <c r="L132" s="2" t="n"/>
      <c r="M132" s="2" t="inlineStr"/>
    </row>
    <row r="133">
      <c r="A133" s="2" t="inlineStr">
        <is>
          <t>R3b</t>
        </is>
      </c>
      <c r="B133" s="2" t="inlineStr">
        <is>
          <t>F2</t>
        </is>
      </c>
      <c r="C133" s="2" t="inlineStr">
        <is>
          <t>f2-q5</t>
        </is>
      </c>
      <c r="D133" s="2" t="inlineStr">
        <is>
          <t>What was the median income of family households in 2022 according to Table A-1?</t>
        </is>
      </c>
      <c r="E133" s="2" t="inlineStr">
        <is>
          <t>table</t>
        </is>
      </c>
      <c r="F133" s="2" t="inlineStr">
        <is>
          <t>family households + 95,450</t>
        </is>
      </c>
      <c r="G133" s="2" t="inlineStr">
        <is>
          <t>no index</t>
        </is>
      </c>
      <c r="H133" s="2" t="n"/>
      <c r="I133" s="2" t="inlineStr">
        <is>
          <t>no</t>
        </is>
      </c>
      <c r="J133" s="2" t="inlineStr">
        <is>
          <t>no</t>
        </is>
      </c>
      <c r="K133" s="2" t="n"/>
      <c r="L133" s="2" t="n"/>
      <c r="M133" s="2" t="inlineStr"/>
    </row>
    <row r="134">
      <c r="A134" s="2" t="inlineStr">
        <is>
          <t>R3b</t>
        </is>
      </c>
      <c r="B134" s="2" t="inlineStr">
        <is>
          <t>F2</t>
        </is>
      </c>
      <c r="C134" s="2" t="inlineStr">
        <is>
          <t>f2-q6</t>
        </is>
      </c>
      <c r="D134" s="2" t="inlineStr">
        <is>
          <t>What was the median income of nonfamily households in 2022 according to Table A-1?</t>
        </is>
      </c>
      <c r="E134" s="2" t="inlineStr">
        <is>
          <t>table</t>
        </is>
      </c>
      <c r="F134" s="2" t="inlineStr">
        <is>
          <t>nonfamily households + 45,440</t>
        </is>
      </c>
      <c r="G134" s="2" t="inlineStr">
        <is>
          <t>no index</t>
        </is>
      </c>
      <c r="H134" s="2" t="n"/>
      <c r="I134" s="2" t="inlineStr">
        <is>
          <t>no</t>
        </is>
      </c>
      <c r="J134" s="2" t="inlineStr">
        <is>
          <t>no</t>
        </is>
      </c>
      <c r="K134" s="2" t="n"/>
      <c r="L134" s="2" t="n"/>
      <c r="M134" s="2" t="inlineStr"/>
    </row>
    <row r="135">
      <c r="A135" s="2" t="inlineStr">
        <is>
          <t>R3b</t>
        </is>
      </c>
      <c r="B135" s="2" t="inlineStr">
        <is>
          <t>F2</t>
        </is>
      </c>
      <c r="C135" s="2" t="inlineStr">
        <is>
          <t>f2-q7</t>
        </is>
      </c>
      <c r="D135" s="2" t="inlineStr">
        <is>
          <t>What was the median household income in Canada in 2022?</t>
        </is>
      </c>
      <c r="E135" s="2" t="inlineStr">
        <is>
          <t>unanswerable</t>
        </is>
      </c>
      <c r="F135" s="2" t="inlineStr">
        <is>
          <t>(not in source)</t>
        </is>
      </c>
      <c r="G135" s="2" t="inlineStr">
        <is>
          <t>no index</t>
        </is>
      </c>
      <c r="H135" s="2" t="n"/>
      <c r="I135" s="2" t="inlineStr">
        <is>
          <t>n/a</t>
        </is>
      </c>
      <c r="J135" s="2" t="inlineStr">
        <is>
          <t>n/a</t>
        </is>
      </c>
      <c r="K135" s="2" t="n"/>
      <c r="L135" s="2" t="n"/>
      <c r="M135" s="2" t="inlineStr"/>
    </row>
    <row r="136">
      <c r="A136" s="2" t="inlineStr">
        <is>
          <t>R3b</t>
        </is>
      </c>
      <c r="B136" s="2" t="inlineStr">
        <is>
          <t>F3</t>
        </is>
      </c>
      <c r="C136" s="2" t="inlineStr">
        <is>
          <t>f3-q1</t>
        </is>
      </c>
      <c r="D136" s="2" t="inlineStr">
        <is>
          <t>How many television pictures does Part III of the Surveyor VI report present?</t>
        </is>
      </c>
      <c r="E136" s="2" t="inlineStr">
        <is>
          <t>ocr</t>
        </is>
      </c>
      <c r="F136" s="2" t="inlineStr">
        <is>
          <t>139 of the total number</t>
        </is>
      </c>
      <c r="G136" s="2" t="inlineStr">
        <is>
          <t>no index</t>
        </is>
      </c>
      <c r="H136" s="2" t="n"/>
      <c r="I136" s="2" t="inlineStr">
        <is>
          <t>no</t>
        </is>
      </c>
      <c r="J136" s="2" t="inlineStr">
        <is>
          <t>no</t>
        </is>
      </c>
      <c r="K136" s="2" t="n"/>
      <c r="L136" s="2" t="n"/>
      <c r="M136" s="2" t="inlineStr"/>
    </row>
    <row r="137">
      <c r="A137" s="2" t="inlineStr">
        <is>
          <t>R3b</t>
        </is>
      </c>
      <c r="B137" s="2" t="inlineStr">
        <is>
          <t>F3</t>
        </is>
      </c>
      <c r="C137" s="2" t="inlineStr">
        <is>
          <t>f3-q2</t>
        </is>
      </c>
      <c r="D137" s="2" t="inlineStr">
        <is>
          <t>Between which dates were the Surveyor VI television pictures transmitted?</t>
        </is>
      </c>
      <c r="E137" s="2" t="inlineStr">
        <is>
          <t>ocr</t>
        </is>
      </c>
      <c r="F137" s="2" t="inlineStr">
        <is>
          <t>november 10 and november 24, 1967</t>
        </is>
      </c>
      <c r="G137" s="2" t="inlineStr">
        <is>
          <t>no index</t>
        </is>
      </c>
      <c r="H137" s="2" t="n"/>
      <c r="I137" s="2" t="inlineStr">
        <is>
          <t>no</t>
        </is>
      </c>
      <c r="J137" s="2" t="inlineStr">
        <is>
          <t>no</t>
        </is>
      </c>
      <c r="K137" s="2" t="n"/>
      <c r="L137" s="2" t="n"/>
      <c r="M137" s="2" t="inlineStr"/>
    </row>
    <row r="138">
      <c r="A138" s="2" t="inlineStr">
        <is>
          <t>R3b</t>
        </is>
      </c>
      <c r="B138" s="2" t="inlineStr">
        <is>
          <t>F3</t>
        </is>
      </c>
      <c r="C138" s="2" t="inlineStr">
        <is>
          <t>f3-q3</t>
        </is>
      </c>
      <c r="D138" s="2" t="inlineStr">
        <is>
          <t>How many mosaics are included in Part III?</t>
        </is>
      </c>
      <c r="E138" s="2" t="inlineStr">
        <is>
          <t>ocr</t>
        </is>
      </c>
      <c r="F138" s="2" t="inlineStr">
        <is>
          <t>46 mosaics</t>
        </is>
      </c>
      <c r="G138" s="2" t="inlineStr">
        <is>
          <t>no index</t>
        </is>
      </c>
      <c r="H138" s="2" t="n"/>
      <c r="I138" s="2" t="inlineStr">
        <is>
          <t>no</t>
        </is>
      </c>
      <c r="J138" s="2" t="inlineStr">
        <is>
          <t>no</t>
        </is>
      </c>
      <c r="K138" s="2" t="n"/>
      <c r="L138" s="2" t="n"/>
      <c r="M138" s="2" t="inlineStr"/>
    </row>
    <row r="139">
      <c r="A139" s="2" t="inlineStr">
        <is>
          <t>R3b</t>
        </is>
      </c>
      <c r="B139" s="2" t="inlineStr">
        <is>
          <t>F3</t>
        </is>
      </c>
      <c r="C139" s="2" t="inlineStr">
        <is>
          <t>f3-q4</t>
        </is>
      </c>
      <c r="D139" s="2" t="inlineStr">
        <is>
          <t>What is the mass of the Surveyor survey TV camera?</t>
        </is>
      </c>
      <c r="E139" s="2" t="inlineStr">
        <is>
          <t>ocr</t>
        </is>
      </c>
      <c r="F139" s="2" t="inlineStr">
        <is>
          <t>7.3-kg camera</t>
        </is>
      </c>
      <c r="G139" s="2" t="inlineStr">
        <is>
          <t>no index</t>
        </is>
      </c>
      <c r="H139" s="2" t="n"/>
      <c r="I139" s="2" t="inlineStr">
        <is>
          <t>no</t>
        </is>
      </c>
      <c r="J139" s="2" t="inlineStr">
        <is>
          <t>no</t>
        </is>
      </c>
      <c r="K139" s="2" t="n"/>
      <c r="L139" s="2" t="n"/>
      <c r="M139" s="2" t="inlineStr"/>
    </row>
    <row r="140">
      <c r="A140" s="2" t="inlineStr">
        <is>
          <t>R3b</t>
        </is>
      </c>
      <c r="B140" s="2" t="inlineStr">
        <is>
          <t>F3</t>
        </is>
      </c>
      <c r="C140" s="2" t="inlineStr">
        <is>
          <t>f3-q5</t>
        </is>
      </c>
      <c r="D140" s="2" t="inlineStr">
        <is>
          <t>Over what range can the Surveyor TV camera focus?</t>
        </is>
      </c>
      <c r="E140" s="2" t="inlineStr">
        <is>
          <t>ocr</t>
        </is>
      </c>
      <c r="F140" s="2" t="inlineStr">
        <is>
          <t>1.22 m to infinity</t>
        </is>
      </c>
      <c r="G140" s="2" t="inlineStr">
        <is>
          <t>no index</t>
        </is>
      </c>
      <c r="H140" s="2" t="n"/>
      <c r="I140" s="2" t="inlineStr">
        <is>
          <t>no</t>
        </is>
      </c>
      <c r="J140" s="2" t="inlineStr">
        <is>
          <t>no</t>
        </is>
      </c>
      <c r="K140" s="2" t="n"/>
      <c r="L140" s="2" t="n"/>
      <c r="M140" s="2" t="inlineStr"/>
    </row>
    <row r="141">
      <c r="A141" s="2" t="inlineStr">
        <is>
          <t>R3b</t>
        </is>
      </c>
      <c r="B141" s="2" t="inlineStr">
        <is>
          <t>F3</t>
        </is>
      </c>
      <c r="C141" s="2" t="inlineStr">
        <is>
          <t>f3-q6</t>
        </is>
      </c>
      <c r="D141" s="2" t="inlineStr">
        <is>
          <t>What scene luminance range is the Surveyor camera designed to accommodate?</t>
        </is>
      </c>
      <c r="E141" s="2" t="inlineStr">
        <is>
          <t>ocr</t>
        </is>
      </c>
      <c r="F141" s="2" t="inlineStr">
        <is>
          <t>0.008 to 2600 ft-l</t>
        </is>
      </c>
      <c r="G141" s="2" t="inlineStr">
        <is>
          <t>no index</t>
        </is>
      </c>
      <c r="H141" s="2" t="n"/>
      <c r="I141" s="2" t="inlineStr">
        <is>
          <t>no</t>
        </is>
      </c>
      <c r="J141" s="2" t="inlineStr">
        <is>
          <t>no</t>
        </is>
      </c>
      <c r="K141" s="2" t="n"/>
      <c r="L141" s="2" t="n"/>
      <c r="M141" s="2" t="inlineStr"/>
    </row>
    <row r="142">
      <c r="A142" s="2" t="inlineStr">
        <is>
          <t>R3b</t>
        </is>
      </c>
      <c r="B142" s="2" t="inlineStr">
        <is>
          <t>F3</t>
        </is>
      </c>
      <c r="C142" s="2" t="inlineStr">
        <is>
          <t>f3-q7</t>
        </is>
      </c>
      <c r="D142" s="2" t="inlineStr">
        <is>
          <t>Which mission number in the Surveyor series was Surveyor VI?</t>
        </is>
      </c>
      <c r="E142" s="2" t="inlineStr">
        <is>
          <t>ocr</t>
        </is>
      </c>
      <c r="F142" s="2" t="inlineStr">
        <is>
          <t>the sixth in a series of unmanned lunar soft-landing missions</t>
        </is>
      </c>
      <c r="G142" s="2" t="inlineStr">
        <is>
          <t>no index</t>
        </is>
      </c>
      <c r="H142" s="2" t="n"/>
      <c r="I142" s="2" t="inlineStr">
        <is>
          <t>no</t>
        </is>
      </c>
      <c r="J142" s="2" t="inlineStr">
        <is>
          <t>no</t>
        </is>
      </c>
      <c r="K142" s="2" t="n"/>
      <c r="L142" s="2" t="n"/>
      <c r="M142" s="2" t="inlineStr"/>
    </row>
    <row r="143">
      <c r="A143" s="2" t="inlineStr">
        <is>
          <t>R3b</t>
        </is>
      </c>
      <c r="B143" s="2" t="inlineStr">
        <is>
          <t>F3</t>
        </is>
      </c>
      <c r="C143" s="2" t="inlineStr">
        <is>
          <t>f3-q8</t>
        </is>
      </c>
      <c r="D143" s="2" t="inlineStr">
        <is>
          <t>What was the landing site latitude of Surveyor VII?</t>
        </is>
      </c>
      <c r="E143" s="2" t="inlineStr">
        <is>
          <t>unanswerable</t>
        </is>
      </c>
      <c r="F143" s="2" t="inlineStr">
        <is>
          <t>(not in source)</t>
        </is>
      </c>
      <c r="G143" s="2" t="inlineStr">
        <is>
          <t>no index</t>
        </is>
      </c>
      <c r="H143" s="2" t="n"/>
      <c r="I143" s="2" t="inlineStr">
        <is>
          <t>n/a</t>
        </is>
      </c>
      <c r="J143" s="2" t="inlineStr">
        <is>
          <t>n/a</t>
        </is>
      </c>
      <c r="K143" s="2" t="n"/>
      <c r="L143" s="2" t="n"/>
      <c r="M143" s="2" t="inlineStr"/>
    </row>
    <row r="144">
      <c r="A144" s="2" t="inlineStr">
        <is>
          <t>R4</t>
        </is>
      </c>
      <c r="B144" s="2" t="inlineStr">
        <is>
          <t>F1</t>
        </is>
      </c>
      <c r="C144" s="2" t="inlineStr">
        <is>
          <t>f1-q1</t>
        </is>
      </c>
      <c r="D144" s="2" t="inlineStr">
        <is>
          <t>What are the layer, hidden size and attention head settings of BERT-base?</t>
        </is>
      </c>
      <c r="E144" s="2" t="inlineStr">
        <is>
          <t>text</t>
        </is>
      </c>
      <c r="F144" s="2" t="inlineStr">
        <is>
          <t>l=12, h=768, a=12</t>
        </is>
      </c>
      <c r="G144" s="2" t="inlineStr">
        <is>
          <t>R4</t>
        </is>
      </c>
      <c r="H144" s="2" t="n">
        <v>2</v>
      </c>
      <c r="I144" s="2" t="inlineStr">
        <is>
          <t>no</t>
        </is>
      </c>
      <c r="J144" s="2" t="inlineStr">
        <is>
          <t>yes</t>
        </is>
      </c>
      <c r="K144" s="2" t="inlineStr">
        <is>
          <t>acl-n19-1423-bert.pdf</t>
        </is>
      </c>
      <c r="L144" s="2" t="inlineStr">
        <is>
          <t>Language Understanding &gt; 5 Ablation Studies &gt; 5.3 Feature-based Approach with BERT</t>
        </is>
      </c>
      <c r="M144" s="2" t="inlineStr">
        <is>
          <t xml:space="preserve">.99 84.4 86.7 92.9 12 1024 16 3.54 85.7 86.9 93.3 24 1024 16 3.23 86.6 87.8 93.7
Table 6:
Ablation over BERT model size. #L = the
number of layers; #H = hidden size; #A = number of attention heads. “LM (ppl)” is the masked LM perplexity
of held-out </t>
        </is>
      </c>
    </row>
    <row r="145">
      <c r="A145" s="2" t="inlineStr">
        <is>
          <t>R4</t>
        </is>
      </c>
      <c r="B145" s="2" t="inlineStr">
        <is>
          <t>F1</t>
        </is>
      </c>
      <c r="C145" s="2" t="inlineStr">
        <is>
          <t>f1-q2</t>
        </is>
      </c>
      <c r="D145" s="2" t="inlineStr">
        <is>
          <t>What percentage of WordPiece tokens does BERT mask during pre-training?</t>
        </is>
      </c>
      <c r="E145" s="2" t="inlineStr">
        <is>
          <t>text</t>
        </is>
      </c>
      <c r="F145" s="2" t="inlineStr">
        <is>
          <t>15% of all wordpiece</t>
        </is>
      </c>
      <c r="G145" s="2" t="inlineStr">
        <is>
          <t>R4</t>
        </is>
      </c>
      <c r="H145" s="2" t="n">
        <v>2</v>
      </c>
      <c r="I145" s="2" t="inlineStr">
        <is>
          <t>no</t>
        </is>
      </c>
      <c r="J145" s="2" t="inlineStr">
        <is>
          <t>yes</t>
        </is>
      </c>
      <c r="K145" s="2" t="inlineStr">
        <is>
          <t>acl-n19-1423-bert.pdf</t>
        </is>
      </c>
      <c r="L145" s="2" t="inlineStr">
        <is>
          <t>Language Understanding &gt; 3 BERT &gt; 3.1 Pre-training BERT</t>
        </is>
      </c>
      <c r="M145" s="2" t="inlineStr">
        <is>
          <t>), we only predict the masked words rather than reconstructing the entire input.
Although this allows us to obtain a bidirectional pre-trained model, a downside is that we are creating a mismatch between pre-training and ﬁne-tuning, since the [MASK]</t>
        </is>
      </c>
    </row>
    <row r="146">
      <c r="A146" s="2" t="inlineStr">
        <is>
          <t>R4</t>
        </is>
      </c>
      <c r="B146" s="2" t="inlineStr">
        <is>
          <t>F1</t>
        </is>
      </c>
      <c r="C146" s="2" t="inlineStr">
        <is>
          <t>f1-q3</t>
        </is>
      </c>
      <c r="D146" s="2" t="inlineStr">
        <is>
          <t>What GLUE score did BERT reach?</t>
        </is>
      </c>
      <c r="E146" s="2" t="inlineStr">
        <is>
          <t>text</t>
        </is>
      </c>
      <c r="F146" s="2" t="inlineStr">
        <is>
          <t>glue score to 80.5%</t>
        </is>
      </c>
      <c r="G146" s="2" t="inlineStr">
        <is>
          <t>R4</t>
        </is>
      </c>
      <c r="H146" s="2" t="n">
        <v>5</v>
      </c>
      <c r="I146" s="2" t="inlineStr">
        <is>
          <t>no</t>
        </is>
      </c>
      <c r="J146" s="2" t="inlineStr">
        <is>
          <t>yes</t>
        </is>
      </c>
      <c r="K146" s="2" t="inlineStr">
        <is>
          <t>acl-n19-1423-bert.pdf</t>
        </is>
      </c>
      <c r="L146" s="2" t="inlineStr">
        <is>
          <t>Language Understanding &gt; 4 Experiments &gt; 4.1 GLUE</t>
        </is>
      </c>
      <c r="M146" s="2" t="inlineStr">
        <is>
          <t xml:space="preserve"> 85.8 88.9 66.4 79.6 BERTLARGE 86.7/85.9 72.1 92.7 94.9 60.5 86.5 89.3 70.1 82.1
Table 1: GLUE Test results, scored by the evaluation server (https://gluebenchmark.com/leaderboard).
The number below each task denotes the number of training examples.</t>
        </is>
      </c>
    </row>
    <row r="147">
      <c r="A147" s="2" t="inlineStr">
        <is>
          <t>R4</t>
        </is>
      </c>
      <c r="B147" s="2" t="inlineStr">
        <is>
          <t>F1</t>
        </is>
      </c>
      <c r="C147" s="2" t="inlineStr">
        <is>
          <t>f1-q4</t>
        </is>
      </c>
      <c r="D147" s="2" t="inlineStr">
        <is>
          <t>Which corpora were used to pre-train BERT?</t>
        </is>
      </c>
      <c r="E147" s="2" t="inlineStr">
        <is>
          <t>text</t>
        </is>
      </c>
      <c r="F147" s="2" t="inlineStr">
        <is>
          <t>bookscorpus (800m words)</t>
        </is>
      </c>
      <c r="G147" s="2" t="inlineStr">
        <is>
          <t>R4</t>
        </is>
      </c>
      <c r="H147" s="2" t="n">
        <v>1</v>
      </c>
      <c r="I147" s="2" t="inlineStr">
        <is>
          <t>yes</t>
        </is>
      </c>
      <c r="J147" s="2" t="inlineStr">
        <is>
          <t>yes</t>
        </is>
      </c>
      <c r="K147" s="2" t="inlineStr">
        <is>
          <t>acl-n19-1423-bert.pdf</t>
        </is>
      </c>
      <c r="L147" s="2" t="inlineStr">
        <is>
          <t>Language Understanding &gt; 3 BERT &gt; 3.1 Pre-training BERT</t>
        </is>
      </c>
      <c r="M147" s="2" t="inlineStr">
        <is>
          <t xml:space="preserve">ks, where BERT transfers all parameters to initialize end-task model parameters.
Pre-training data The pre-training procedure largely follows the existing literature on language model pre-training. For the pre-training corpus we use the BooksCorpus </t>
        </is>
      </c>
    </row>
    <row r="148">
      <c r="A148" s="2" t="inlineStr">
        <is>
          <t>R4</t>
        </is>
      </c>
      <c r="B148" s="2" t="inlineStr">
        <is>
          <t>F1</t>
        </is>
      </c>
      <c r="C148" s="2" t="inlineStr">
        <is>
          <t>f1-q5</t>
        </is>
      </c>
      <c r="D148" s="2" t="inlineStr">
        <is>
          <t>What SQuAD v1.1 Test F1 did BERT achieve?</t>
        </is>
      </c>
      <c r="E148" s="2" t="inlineStr">
        <is>
          <t>text</t>
        </is>
      </c>
      <c r="F148" s="2" t="inlineStr">
        <is>
          <t>93.2</t>
        </is>
      </c>
      <c r="G148" s="2" t="inlineStr">
        <is>
          <t>R4</t>
        </is>
      </c>
      <c r="H148" s="2" t="n">
        <v>2</v>
      </c>
      <c r="I148" s="2" t="inlineStr">
        <is>
          <t>no</t>
        </is>
      </c>
      <c r="J148" s="2" t="inlineStr">
        <is>
          <t>yes</t>
        </is>
      </c>
      <c r="K148" s="2" t="inlineStr">
        <is>
          <t>acl-n19-1423-bert.pdf</t>
        </is>
      </c>
      <c r="L148" s="2" t="inlineStr">
        <is>
          <t>Language Understanding &gt; 4 Experiments &gt; 4.2 SQuAD v1.1</t>
        </is>
      </c>
      <c r="M148" s="2" t="inlineStr">
        <is>
          <t xml:space="preserve">rst ﬁne-tuning on TriviaQA (Joshi
et al., 2017) befor ﬁne-tuning on SQuAD.
Our best performing system outperforms the top leaderboard system by +1.5 F1 in ensembling and +1.3 F1 as a single system. In fact, our single BERT model outperforms the top </t>
        </is>
      </c>
    </row>
    <row r="149">
      <c r="A149" s="2" t="inlineStr">
        <is>
          <t>R4</t>
        </is>
      </c>
      <c r="B149" s="2" t="inlineStr">
        <is>
          <t>F1</t>
        </is>
      </c>
      <c r="C149" s="2" t="inlineStr">
        <is>
          <t>f1-q6</t>
        </is>
      </c>
      <c r="D149" s="2" t="inlineStr">
        <is>
          <t>How many total parameters does BERT-large have?</t>
        </is>
      </c>
      <c r="E149" s="2" t="inlineStr">
        <is>
          <t>text</t>
        </is>
      </c>
      <c r="F149" s="2" t="inlineStr">
        <is>
          <t>total parameters=340m</t>
        </is>
      </c>
      <c r="G149" s="2" t="inlineStr">
        <is>
          <t>R4</t>
        </is>
      </c>
      <c r="H149" s="2" t="n">
        <v>2</v>
      </c>
      <c r="I149" s="2" t="inlineStr">
        <is>
          <t>no</t>
        </is>
      </c>
      <c r="J149" s="2" t="inlineStr">
        <is>
          <t>yes</t>
        </is>
      </c>
      <c r="K149" s="2" t="inlineStr">
        <is>
          <t>acl-n19-1423-bert.pdf</t>
        </is>
      </c>
      <c r="L149" s="2" t="inlineStr">
        <is>
          <t>Language Understanding &gt; 5 Ablation Studies &gt; 5.2 Effect of Model Size</t>
        </is>
      </c>
      <c r="M149" s="2" t="inlineStr">
        <is>
          <t>e literature is (L=64, H=512, A=2) with 235M parameters (Al-Rfou et al., 2018). 
By contrast, BERTBASE contains 110M parameters and BERTLARGE contains 340M parameters.
It has long been known that increasing the model size will lead to continual imp</t>
        </is>
      </c>
    </row>
    <row r="150">
      <c r="A150" s="2" t="inlineStr">
        <is>
          <t>R4</t>
        </is>
      </c>
      <c r="B150" s="2" t="inlineStr">
        <is>
          <t>F1</t>
        </is>
      </c>
      <c r="C150" s="2" t="inlineStr">
        <is>
          <t>f1-q7</t>
        </is>
      </c>
      <c r="D150" s="2" t="inlineStr">
        <is>
          <t>How many GPUs were used to train GPT-4?</t>
        </is>
      </c>
      <c r="E150" s="2" t="inlineStr">
        <is>
          <t>unanswerable</t>
        </is>
      </c>
      <c r="F150" s="2" t="inlineStr">
        <is>
          <t>(not in source)</t>
        </is>
      </c>
      <c r="G150" s="2" t="inlineStr">
        <is>
          <t>R4</t>
        </is>
      </c>
      <c r="H150" s="2" t="n"/>
      <c r="I150" s="2" t="inlineStr">
        <is>
          <t>n/a</t>
        </is>
      </c>
      <c r="J150" s="2" t="inlineStr">
        <is>
          <t>n/a</t>
        </is>
      </c>
      <c r="K150" s="2" t="inlineStr">
        <is>
          <t>acl-n19-1423-bert.pdf</t>
        </is>
      </c>
      <c r="L150" s="2" t="inlineStr">
        <is>
          <t>Language Understanding &gt; 5 Ablation Studies &gt; 5.2 Effect of Model Size</t>
        </is>
      </c>
      <c r="M150" s="2" t="inlineStr">
        <is>
          <t>Results on selected GLUE tasks are shown in Table 6. In this table, we report the average Dev Set accuracy from 5 random restarts of ﬁne-tuning. We can see that larger models lead to a strict accuracy improvement across all four datasets, even for MR</t>
        </is>
      </c>
    </row>
    <row r="151">
      <c r="A151" s="2" t="inlineStr">
        <is>
          <t>R4</t>
        </is>
      </c>
      <c r="B151" s="2" t="inlineStr">
        <is>
          <t>F2</t>
        </is>
      </c>
      <c r="C151" s="2" t="inlineStr">
        <is>
          <t>f2-q1</t>
        </is>
      </c>
      <c r="D151" s="2" t="inlineStr">
        <is>
          <t>What was real median household income in the United States in 2022?</t>
        </is>
      </c>
      <c r="E151" s="2" t="inlineStr">
        <is>
          <t>text</t>
        </is>
      </c>
      <c r="F151" s="2" t="inlineStr">
        <is>
          <t>$74,580</t>
        </is>
      </c>
      <c r="G151" s="2" t="inlineStr">
        <is>
          <t>R4</t>
        </is>
      </c>
      <c r="H151" s="2" t="n">
        <v>1</v>
      </c>
      <c r="I151" s="2" t="inlineStr">
        <is>
          <t>yes</t>
        </is>
      </c>
      <c r="J151" s="2" t="inlineStr">
        <is>
          <t>yes</t>
        </is>
      </c>
      <c r="K151" s="2" t="inlineStr">
        <is>
          <t>census-p60-279.pdf</t>
        </is>
      </c>
      <c r="L151" s="2" t="inlineStr">
        <is>
          <t>Income in the United States: 2022 &gt; HOUSEHOLD INCOME BY SELECTED CHARACTERISTICS &gt; All Households</t>
        </is>
      </c>
      <c r="M151" s="2" t="inlineStr">
        <is>
          <t>All Households
Real median household income 
was $74,580 in 2022, 2.3 percent 
lower than the 2021 estimate of 
$76,330. It was 4.7 percent lower 
than the 2019 median, the year 
before the start of the COVID-19 
pandemic and the corresponding 
rece</t>
        </is>
      </c>
    </row>
    <row r="152">
      <c r="A152" s="2" t="inlineStr">
        <is>
          <t>R4</t>
        </is>
      </c>
      <c r="B152" s="2" t="inlineStr">
        <is>
          <t>F2</t>
        </is>
      </c>
      <c r="C152" s="2" t="inlineStr">
        <is>
          <t>f2-q2</t>
        </is>
      </c>
      <c r="D152" s="2" t="inlineStr">
        <is>
          <t>By how much did real median household income change between 2021 and 2022?</t>
        </is>
      </c>
      <c r="E152" s="2" t="inlineStr">
        <is>
          <t>text</t>
        </is>
      </c>
      <c r="F152" s="2" t="inlineStr">
        <is>
          <t>2.3 percent</t>
        </is>
      </c>
      <c r="G152" s="2" t="inlineStr">
        <is>
          <t>R4</t>
        </is>
      </c>
      <c r="H152" s="2" t="n">
        <v>2</v>
      </c>
      <c r="I152" s="2" t="inlineStr">
        <is>
          <t>no</t>
        </is>
      </c>
      <c r="J152" s="2" t="inlineStr">
        <is>
          <t>yes</t>
        </is>
      </c>
      <c r="K152" s="2" t="inlineStr">
        <is>
          <t>census-p60-279.pdf</t>
        </is>
      </c>
      <c r="L152" s="2" t="inlineStr">
        <is>
          <t>Income in the United States: 2022 &gt; HOUSEHOLD INCOME BY SELECTED CHARACTERISTICS &gt; Change: 2021 to 2022
2022 Median Income</t>
        </is>
      </c>
      <c r="M152" s="2" t="inlineStr">
        <is>
          <t>Change: 2021 to 2022
2022 Median Income</t>
        </is>
      </c>
    </row>
    <row r="153">
      <c r="A153" s="2" t="inlineStr">
        <is>
          <t>R4</t>
        </is>
      </c>
      <c r="B153" s="2" t="inlineStr">
        <is>
          <t>F2</t>
        </is>
      </c>
      <c r="C153" s="2" t="inlineStr">
        <is>
          <t>f2-q3</t>
        </is>
      </c>
      <c r="D153" s="2" t="inlineStr">
        <is>
          <t>How did the money income Gini index change between 2021 and 2022?</t>
        </is>
      </c>
      <c r="E153" s="2" t="inlineStr">
        <is>
          <t>text</t>
        </is>
      </c>
      <c r="F153" s="2" t="inlineStr">
        <is>
          <t>from 0.494 to 0.488</t>
        </is>
      </c>
      <c r="G153" s="2" t="inlineStr">
        <is>
          <t>R4</t>
        </is>
      </c>
      <c r="H153" s="2" t="n">
        <v>1</v>
      </c>
      <c r="I153" s="2" t="inlineStr">
        <is>
          <t>yes</t>
        </is>
      </c>
      <c r="J153" s="2" t="inlineStr">
        <is>
          <t>yes</t>
        </is>
      </c>
      <c r="K153" s="2" t="inlineStr">
        <is>
          <t>census-p60-279.pdf</t>
        </is>
      </c>
      <c r="L153" s="2" t="inlineStr">
        <is>
          <t>Income in the United States: 2022 &gt; HOUSEHOLD INCOME BY SELECTED CHARACTERISTICS &gt; Money Income Inequality27</t>
        </is>
      </c>
      <c r="M153" s="2" t="inlineStr">
        <is>
          <t>Money Income Inequality27
The Gini index is a statistical mea sure of income inequality ranging 
from 0.0 to 1.0. It measures the 
amount that any two incomes 
differ, on average, relative to 
mean income. It is an indicator 
of how far apart or “sp</t>
        </is>
      </c>
    </row>
    <row r="154">
      <c r="A154" s="2" t="inlineStr">
        <is>
          <t>R4</t>
        </is>
      </c>
      <c r="B154" s="2" t="inlineStr">
        <is>
          <t>F2</t>
        </is>
      </c>
      <c r="C154" s="2" t="inlineStr">
        <is>
          <t>f2-q4</t>
        </is>
      </c>
      <c r="D154" s="2" t="inlineStr">
        <is>
          <t>What was the median income of married-couple households in 2022 according to Table A-1?</t>
        </is>
      </c>
      <c r="E154" s="2" t="inlineStr">
        <is>
          <t>table</t>
        </is>
      </c>
      <c r="F154" s="2" t="inlineStr">
        <is>
          <t>married-couple + 110,800</t>
        </is>
      </c>
      <c r="G154" s="2" t="inlineStr">
        <is>
          <t>R4</t>
        </is>
      </c>
      <c r="H154" s="2" t="n"/>
      <c r="I154" s="2" t="inlineStr">
        <is>
          <t>no</t>
        </is>
      </c>
      <c r="J154" s="2" t="inlineStr">
        <is>
          <t>no</t>
        </is>
      </c>
      <c r="K154" s="2" t="inlineStr">
        <is>
          <t>census-p60-279.pdf</t>
        </is>
      </c>
      <c r="L154" s="2" t="inlineStr">
        <is>
          <t>Income in the United States: 2022 &gt; HOUSEHOLD INCOME BY SELECTED CHARACTERISTICS &gt; Type of Household8</t>
        </is>
      </c>
      <c r="M154" s="2" t="inlineStr">
        <is>
          <t>Type of Household8
The 2022 real median income of 
family households declined by 
2.9 percent from 2021, and the 
real median income of marriedcouple families declined by 3.9 
percent. Among family house holds, married couples had the 
highest media</t>
        </is>
      </c>
    </row>
    <row r="155">
      <c r="A155" s="2" t="inlineStr">
        <is>
          <t>R4</t>
        </is>
      </c>
      <c r="B155" s="2" t="inlineStr">
        <is>
          <t>F2</t>
        </is>
      </c>
      <c r="C155" s="2" t="inlineStr">
        <is>
          <t>f2-q5</t>
        </is>
      </c>
      <c r="D155" s="2" t="inlineStr">
        <is>
          <t>What was the median income of family households in 2022 according to Table A-1?</t>
        </is>
      </c>
      <c r="E155" s="2" t="inlineStr">
        <is>
          <t>table</t>
        </is>
      </c>
      <c r="F155" s="2" t="inlineStr">
        <is>
          <t>family households + 95,450</t>
        </is>
      </c>
      <c r="G155" s="2" t="inlineStr">
        <is>
          <t>R4</t>
        </is>
      </c>
      <c r="H155" s="2" t="n"/>
      <c r="I155" s="2" t="inlineStr">
        <is>
          <t>no</t>
        </is>
      </c>
      <c r="J155" s="2" t="inlineStr">
        <is>
          <t>no</t>
        </is>
      </c>
      <c r="K155" s="2" t="inlineStr">
        <is>
          <t>census-p60-279.pdf</t>
        </is>
      </c>
      <c r="L155" s="2" t="inlineStr">
        <is>
          <t>Income in the United States: 2022 &gt; HOUSEHOLD INCOME BY SELECTED CHARACTERISTICS &gt; Type of Household8</t>
        </is>
      </c>
      <c r="M155" s="2" t="inlineStr">
        <is>
          <t>Type of Household8
The 2022 real median income of 
family households declined by 
2.9 percent from 2021, and the 
real median income of marriedcouple families declined by 3.9 
percent. Among family house holds, married couples had the 
highest media</t>
        </is>
      </c>
    </row>
    <row r="156">
      <c r="A156" s="2" t="inlineStr">
        <is>
          <t>R4</t>
        </is>
      </c>
      <c r="B156" s="2" t="inlineStr">
        <is>
          <t>F2</t>
        </is>
      </c>
      <c r="C156" s="2" t="inlineStr">
        <is>
          <t>f2-q6</t>
        </is>
      </c>
      <c r="D156" s="2" t="inlineStr">
        <is>
          <t>What was the median income of nonfamily households in 2022 according to Table A-1?</t>
        </is>
      </c>
      <c r="E156" s="2" t="inlineStr">
        <is>
          <t>table</t>
        </is>
      </c>
      <c r="F156" s="2" t="inlineStr">
        <is>
          <t>nonfamily households + 45,440</t>
        </is>
      </c>
      <c r="G156" s="2" t="inlineStr">
        <is>
          <t>R4</t>
        </is>
      </c>
      <c r="H156" s="2" t="n">
        <v>1</v>
      </c>
      <c r="I156" s="2" t="inlineStr">
        <is>
          <t>yes</t>
        </is>
      </c>
      <c r="J156" s="2" t="inlineStr">
        <is>
          <t>yes</t>
        </is>
      </c>
      <c r="K156" s="2" t="inlineStr">
        <is>
          <t>census-p60-279.pdf</t>
        </is>
      </c>
      <c r="L156" s="2" t="inlineStr">
        <is>
          <t>Income in the United States: 2022 &gt; HOUSEHOLD INCOME BY SELECTED CHARACTERISTICS &gt; Type of Household8</t>
        </is>
      </c>
      <c r="M156" s="2" t="inlineStr">
        <is>
          <t xml:space="preserve">an 
income between these groups and 
non-Hispanic White households 
decreased.12
Nonfamily households had a 
median income of $45,440 in 
2022, which was not significantly 
different from 2021 (Figure 1 and 
Table A-1). Nonfamily house holds with a </t>
        </is>
      </c>
    </row>
    <row r="157">
      <c r="A157" s="2" t="inlineStr">
        <is>
          <t>R4</t>
        </is>
      </c>
      <c r="B157" s="2" t="inlineStr">
        <is>
          <t>F2</t>
        </is>
      </c>
      <c r="C157" s="2" t="inlineStr">
        <is>
          <t>f2-q7</t>
        </is>
      </c>
      <c r="D157" s="2" t="inlineStr">
        <is>
          <t>What was the median household income in Canada in 2022?</t>
        </is>
      </c>
      <c r="E157" s="2" t="inlineStr">
        <is>
          <t>unanswerable</t>
        </is>
      </c>
      <c r="F157" s="2" t="inlineStr">
        <is>
          <t>(not in source)</t>
        </is>
      </c>
      <c r="G157" s="2" t="inlineStr">
        <is>
          <t>R4</t>
        </is>
      </c>
      <c r="H157" s="2" t="n"/>
      <c r="I157" s="2" t="inlineStr">
        <is>
          <t>n/a</t>
        </is>
      </c>
      <c r="J157" s="2" t="inlineStr">
        <is>
          <t>n/a</t>
        </is>
      </c>
      <c r="K157" s="2" t="inlineStr">
        <is>
          <t>census-p60-279.pdf</t>
        </is>
      </c>
      <c r="L157" s="2" t="inlineStr">
        <is>
          <t>Income in the United States: 2022 &gt; HOUSEHOLD INCOME BY SELECTED CHARACTERISTICS &gt; All Households</t>
        </is>
      </c>
      <c r="M157" s="2" t="inlineStr">
        <is>
          <t>All Households
Real median household income 
was $74,580 in 2022, 2.3 percent 
lower than the 2021 estimate of 
$76,330. It was 4.7 percent lower 
than the 2019 median, the year 
before the start of the COVID-19 
pandemic and the corresponding 
rece</t>
        </is>
      </c>
    </row>
    <row r="158">
      <c r="A158" s="2" t="inlineStr">
        <is>
          <t>R4</t>
        </is>
      </c>
      <c r="B158" s="2" t="inlineStr">
        <is>
          <t>F3</t>
        </is>
      </c>
      <c r="C158" s="2" t="inlineStr">
        <is>
          <t>f3-q1</t>
        </is>
      </c>
      <c r="D158" s="2" t="inlineStr">
        <is>
          <t>How many television pictures does Part III of the Surveyor VI report present?</t>
        </is>
      </c>
      <c r="E158" s="2" t="inlineStr">
        <is>
          <t>ocr</t>
        </is>
      </c>
      <c r="F158" s="2" t="inlineStr">
        <is>
          <t>139 of the total number</t>
        </is>
      </c>
      <c r="G158" s="2" t="inlineStr">
        <is>
          <t>R4</t>
        </is>
      </c>
      <c r="H158" s="2" t="n">
        <v>1</v>
      </c>
      <c r="I158" s="2" t="inlineStr">
        <is>
          <t>yes</t>
        </is>
      </c>
      <c r="J158" s="2" t="inlineStr">
        <is>
          <t>yes</t>
        </is>
      </c>
      <c r="K158" s="2" t="inlineStr">
        <is>
          <t>surveyor-vi-tv-scan.pdf</t>
        </is>
      </c>
      <c r="L158" s="2" t="inlineStr"/>
      <c r="M158"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159">
      <c r="A159" s="2" t="inlineStr">
        <is>
          <t>R4</t>
        </is>
      </c>
      <c r="B159" s="2" t="inlineStr">
        <is>
          <t>F3</t>
        </is>
      </c>
      <c r="C159" s="2" t="inlineStr">
        <is>
          <t>f3-q2</t>
        </is>
      </c>
      <c r="D159" s="2" t="inlineStr">
        <is>
          <t>Between which dates were the Surveyor VI television pictures transmitted?</t>
        </is>
      </c>
      <c r="E159" s="2" t="inlineStr">
        <is>
          <t>ocr</t>
        </is>
      </c>
      <c r="F159" s="2" t="inlineStr">
        <is>
          <t>november 10 and november 24, 1967</t>
        </is>
      </c>
      <c r="G159" s="2" t="inlineStr">
        <is>
          <t>R4</t>
        </is>
      </c>
      <c r="H159" s="2" t="n">
        <v>1</v>
      </c>
      <c r="I159" s="2" t="inlineStr">
        <is>
          <t>yes</t>
        </is>
      </c>
      <c r="J159" s="2" t="inlineStr">
        <is>
          <t>yes</t>
        </is>
      </c>
      <c r="K159" s="2" t="inlineStr">
        <is>
          <t>surveyor-vi-tv-scan.pdf</t>
        </is>
      </c>
      <c r="L159" s="2" t="inlineStr"/>
      <c r="M159"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160">
      <c r="A160" s="2" t="inlineStr">
        <is>
          <t>R4</t>
        </is>
      </c>
      <c r="B160" s="2" t="inlineStr">
        <is>
          <t>F3</t>
        </is>
      </c>
      <c r="C160" s="2" t="inlineStr">
        <is>
          <t>f3-q3</t>
        </is>
      </c>
      <c r="D160" s="2" t="inlineStr">
        <is>
          <t>How many mosaics are included in Part III?</t>
        </is>
      </c>
      <c r="E160" s="2" t="inlineStr">
        <is>
          <t>ocr</t>
        </is>
      </c>
      <c r="F160" s="2" t="inlineStr">
        <is>
          <t>46 mosaics</t>
        </is>
      </c>
      <c r="G160" s="2" t="inlineStr">
        <is>
          <t>R4</t>
        </is>
      </c>
      <c r="H160" s="2" t="n">
        <v>1</v>
      </c>
      <c r="I160" s="2" t="inlineStr">
        <is>
          <t>yes</t>
        </is>
      </c>
      <c r="J160" s="2" t="inlineStr">
        <is>
          <t>yes</t>
        </is>
      </c>
      <c r="K160" s="2" t="inlineStr">
        <is>
          <t>surveyor-vi-tv-scan.pdf</t>
        </is>
      </c>
      <c r="L160" s="2" t="inlineStr"/>
      <c r="M160"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161">
      <c r="A161" s="2" t="inlineStr">
        <is>
          <t>R4</t>
        </is>
      </c>
      <c r="B161" s="2" t="inlineStr">
        <is>
          <t>F3</t>
        </is>
      </c>
      <c r="C161" s="2" t="inlineStr">
        <is>
          <t>f3-q4</t>
        </is>
      </c>
      <c r="D161" s="2" t="inlineStr">
        <is>
          <t>What is the mass of the Surveyor survey TV camera?</t>
        </is>
      </c>
      <c r="E161" s="2" t="inlineStr">
        <is>
          <t>ocr</t>
        </is>
      </c>
      <c r="F161" s="2" t="inlineStr">
        <is>
          <t>7.3-kg camera</t>
        </is>
      </c>
      <c r="G161" s="2" t="inlineStr">
        <is>
          <t>R4</t>
        </is>
      </c>
      <c r="H161" s="2" t="n">
        <v>3</v>
      </c>
      <c r="I161" s="2" t="inlineStr">
        <is>
          <t>no</t>
        </is>
      </c>
      <c r="J161" s="2" t="inlineStr">
        <is>
          <t>yes</t>
        </is>
      </c>
      <c r="K161" s="2" t="inlineStr">
        <is>
          <t>surveyor-vi-tv-scan.pdf</t>
        </is>
      </c>
      <c r="L161" s="2" t="inlineStr"/>
      <c r="M161" s="2" t="inlineStr">
        <is>
          <t>Il. Television Subsystem M. I. Smokler
The Surveyor TV system is designed to obtain video pictures of the lunar surface, lunar sky, and portions of the landed spacecraft. It includes a survey camera capable of panoramic viewing, and a TV auxiliary t</t>
        </is>
      </c>
    </row>
    <row r="162">
      <c r="A162" s="2" t="inlineStr">
        <is>
          <t>R4</t>
        </is>
      </c>
      <c r="B162" s="2" t="inlineStr">
        <is>
          <t>F3</t>
        </is>
      </c>
      <c r="C162" s="2" t="inlineStr">
        <is>
          <t>f3-q5</t>
        </is>
      </c>
      <c r="D162" s="2" t="inlineStr">
        <is>
          <t>Over what range can the Surveyor TV camera focus?</t>
        </is>
      </c>
      <c r="E162" s="2" t="inlineStr">
        <is>
          <t>ocr</t>
        </is>
      </c>
      <c r="F162" s="2" t="inlineStr">
        <is>
          <t>1.22 m to infinity</t>
        </is>
      </c>
      <c r="G162" s="2" t="inlineStr">
        <is>
          <t>R4</t>
        </is>
      </c>
      <c r="H162" s="2" t="n">
        <v>4</v>
      </c>
      <c r="I162" s="2" t="inlineStr">
        <is>
          <t>no</t>
        </is>
      </c>
      <c r="J162" s="2" t="inlineStr">
        <is>
          <t>yes</t>
        </is>
      </c>
      <c r="K162" s="2" t="inlineStr">
        <is>
          <t>surveyor-vi-tv-scan.pdf</t>
        </is>
      </c>
      <c r="L162" s="2" t="inlineStr"/>
      <c r="M162" s="2" t="inlineStr">
        <is>
          <t xml:space="preserve"> was capable of providing either a
Fig. II-5. Variable-focal-length lens assembly
100-mm or 25-mm focal length, resulting in a vertical field of view of approximately 6.43 or 25.3 deg, respectively, as measured by the angular subtense of the vertic</t>
        </is>
      </c>
    </row>
    <row r="163">
      <c r="A163" s="2" t="inlineStr">
        <is>
          <t>R4</t>
        </is>
      </c>
      <c r="B163" s="2" t="inlineStr">
        <is>
          <t>F3</t>
        </is>
      </c>
      <c r="C163" s="2" t="inlineStr">
        <is>
          <t>f3-q6</t>
        </is>
      </c>
      <c r="D163" s="2" t="inlineStr">
        <is>
          <t>What scene luminance range is the Surveyor camera designed to accommodate?</t>
        </is>
      </c>
      <c r="E163" s="2" t="inlineStr">
        <is>
          <t>ocr</t>
        </is>
      </c>
      <c r="F163" s="2" t="inlineStr">
        <is>
          <t>0.008 to 2600 ft-l</t>
        </is>
      </c>
      <c r="G163" s="2" t="inlineStr">
        <is>
          <t>R4</t>
        </is>
      </c>
      <c r="H163" s="2" t="n">
        <v>1</v>
      </c>
      <c r="I163" s="2" t="inlineStr">
        <is>
          <t>yes</t>
        </is>
      </c>
      <c r="J163" s="2" t="inlineStr">
        <is>
          <t>yes</t>
        </is>
      </c>
      <c r="K163" s="2" t="inlineStr">
        <is>
          <t>surveyor-vi-tv-scan.pdf</t>
        </is>
      </c>
      <c r="L163" s="2" t="inlineStr"/>
      <c r="M163" s="2" t="inlineStr">
        <is>
          <t xml:space="preserve">tification signals and to provide appropriate video mixing.
A. Camera Description
The slow-scan survey TV camera, shown in Figs. II-1 and II-2, provides images of the lunar surface over a 360-deg panorama. Each picture, or frame, is imaged through </t>
        </is>
      </c>
    </row>
    <row r="164">
      <c r="A164" s="2" t="inlineStr">
        <is>
          <t>R4</t>
        </is>
      </c>
      <c r="B164" s="2" t="inlineStr">
        <is>
          <t>F3</t>
        </is>
      </c>
      <c r="C164" s="2" t="inlineStr">
        <is>
          <t>f3-q7</t>
        </is>
      </c>
      <c r="D164" s="2" t="inlineStr">
        <is>
          <t>Which mission number in the Surveyor series was Surveyor VI?</t>
        </is>
      </c>
      <c r="E164" s="2" t="inlineStr">
        <is>
          <t>ocr</t>
        </is>
      </c>
      <c r="F164" s="2" t="inlineStr">
        <is>
          <t>the sixth in a series of unmanned lunar soft-landing missions</t>
        </is>
      </c>
      <c r="G164" s="2" t="inlineStr">
        <is>
          <t>R4</t>
        </is>
      </c>
      <c r="H164" s="2" t="n">
        <v>1</v>
      </c>
      <c r="I164" s="2" t="inlineStr">
        <is>
          <t>yes</t>
        </is>
      </c>
      <c r="J164" s="2" t="inlineStr">
        <is>
          <t>yes</t>
        </is>
      </c>
      <c r="K164" s="2" t="inlineStr">
        <is>
          <t>surveyor-vi-tv-scan.pdf</t>
        </is>
      </c>
      <c r="L164" s="2" t="inlineStr"/>
      <c r="M164" s="2" t="inlineStr">
        <is>
          <t>Preface
This three-part document constitutes the Project Mission Report on Surveyor VI, the sixth in a series of unmanned lunar soft-landing missions.
Part I of this Technical Report consists of a technical description and an evaluation of engineer</t>
        </is>
      </c>
    </row>
    <row r="165">
      <c r="A165" s="2" t="inlineStr">
        <is>
          <t>R4</t>
        </is>
      </c>
      <c r="B165" s="2" t="inlineStr">
        <is>
          <t>F3</t>
        </is>
      </c>
      <c r="C165" s="2" t="inlineStr">
        <is>
          <t>f3-q8</t>
        </is>
      </c>
      <c r="D165" s="2" t="inlineStr">
        <is>
          <t>What was the landing site latitude of Surveyor VII?</t>
        </is>
      </c>
      <c r="E165" s="2" t="inlineStr">
        <is>
          <t>unanswerable</t>
        </is>
      </c>
      <c r="F165" s="2" t="inlineStr">
        <is>
          <t>(not in source)</t>
        </is>
      </c>
      <c r="G165" s="2" t="inlineStr">
        <is>
          <t>R4</t>
        </is>
      </c>
      <c r="H165" s="2" t="n"/>
      <c r="I165" s="2" t="inlineStr">
        <is>
          <t>n/a</t>
        </is>
      </c>
      <c r="J165" s="2" t="inlineStr">
        <is>
          <t>n/a</t>
        </is>
      </c>
      <c r="K165" s="2" t="inlineStr">
        <is>
          <t>surveyor-vi-tv-scan.pdf</t>
        </is>
      </c>
      <c r="L165" s="2" t="inlineStr"/>
      <c r="M165" s="2" t="inlineStr">
        <is>
          <t>Preface
This three-part document constitutes the Project Mission Report on Surveyor VI, the sixth in a series of unmanned lunar soft-landing missions.
Part I of this Technical Report consists of a technical description and an evaluation of engineer</t>
        </is>
      </c>
    </row>
    <row r="166">
      <c r="A166" s="2" t="inlineStr">
        <is>
          <t>R5</t>
        </is>
      </c>
      <c r="B166" s="2" t="inlineStr">
        <is>
          <t>W1</t>
        </is>
      </c>
      <c r="C166" s="2" t="inlineStr">
        <is>
          <t>w1-q1</t>
        </is>
      </c>
      <c r="D166" s="2" t="inlineStr">
        <is>
          <t>Which class does the Python tutorial recommend for implementing a queue?</t>
        </is>
      </c>
      <c r="E166" s="2" t="inlineStr">
        <is>
          <t>text</t>
        </is>
      </c>
      <c r="F166" s="2" t="inlineStr">
        <is>
          <t>collections.deque</t>
        </is>
      </c>
      <c r="G166" s="2" t="inlineStr">
        <is>
          <t>R5</t>
        </is>
      </c>
      <c r="H166" s="2" t="n">
        <v>2</v>
      </c>
      <c r="I166" s="2" t="inlineStr">
        <is>
          <t>no</t>
        </is>
      </c>
      <c r="J166" s="2" t="inlineStr">
        <is>
          <t>yes</t>
        </is>
      </c>
      <c r="K166" s="2" t="inlineStr">
        <is>
          <t>https://docs.python.org/3/tutorial/datastructures.html</t>
        </is>
      </c>
      <c r="L166" s="2" t="inlineStr">
        <is>
          <t>5. Data Structures ¶ &gt; 5.1. More on Lists ¶ &gt; 5.1.2. Using Lists as Queues ¶</t>
        </is>
      </c>
      <c r="M166" s="2" t="inlineStr">
        <is>
          <t xml:space="preserve">e which was designed to
have fast appends and pops from both ends.  For example:
&gt;&gt;&gt; from collections import deque
&gt;&gt;&gt; queue = deque(["Eric", "John", "Michael"])
&gt;&gt;&gt; queue.append("Terry")           # Terry arrives
&gt;&gt;&gt; queue.append("Graham")         </t>
        </is>
      </c>
    </row>
    <row r="167">
      <c r="A167" s="2" t="inlineStr">
        <is>
          <t>R5</t>
        </is>
      </c>
      <c r="B167" s="2" t="inlineStr">
        <is>
          <t>W1</t>
        </is>
      </c>
      <c r="C167" s="2" t="inlineStr">
        <is>
          <t>w1-q2</t>
        </is>
      </c>
      <c r="D167" s="2" t="inlineStr">
        <is>
          <t>In CPython 3.3, where is the compiled version of a module named spam.py cached?</t>
        </is>
      </c>
      <c r="E167" s="2" t="inlineStr">
        <is>
          <t>code</t>
        </is>
      </c>
      <c r="F167" s="2" t="inlineStr">
        <is>
          <t>spam.cpython-33.pyc</t>
        </is>
      </c>
      <c r="G167" s="2" t="inlineStr">
        <is>
          <t>R5</t>
        </is>
      </c>
      <c r="H167" s="2" t="n">
        <v>1</v>
      </c>
      <c r="I167" s="2" t="inlineStr">
        <is>
          <t>yes</t>
        </is>
      </c>
      <c r="J167" s="2" t="inlineStr">
        <is>
          <t>yes</t>
        </is>
      </c>
      <c r="K167" s="2" t="inlineStr">
        <is>
          <t>https://docs.python.org/3/tutorial/modules.html</t>
        </is>
      </c>
      <c r="L167" s="2" t="inlineStr">
        <is>
          <t>6. Modules ¶ &gt; 6.1. More on Modules ¶</t>
        </is>
      </c>
      <c r="M167" s="2" t="inlineStr">
        <is>
          <t>6.1.3. “Compiled” Python files ¶
To speed up loading modules, Python caches the compiled version of each module
in the __pycache__ directory under the name module.version.pyc,
where the version encodes the format of the compiled file; it generally c</t>
        </is>
      </c>
    </row>
    <row r="168">
      <c r="A168" s="2" t="inlineStr">
        <is>
          <t>R5</t>
        </is>
      </c>
      <c r="B168" s="2" t="inlineStr">
        <is>
          <t>W1</t>
        </is>
      </c>
      <c r="C168" s="2" t="inlineStr">
        <is>
          <t>w1-q3</t>
        </is>
      </c>
      <c r="D168" s="2" t="inlineStr">
        <is>
          <t>What command does the tutorial use to create a virtual environment called tutorial-env?</t>
        </is>
      </c>
      <c r="E168" s="2" t="inlineStr">
        <is>
          <t>code</t>
        </is>
      </c>
      <c r="F168" s="2" t="inlineStr">
        <is>
          <t>python -m venv tutorial-env</t>
        </is>
      </c>
      <c r="G168" s="2" t="inlineStr">
        <is>
          <t>R5</t>
        </is>
      </c>
      <c r="H168" s="2" t="n">
        <v>1</v>
      </c>
      <c r="I168" s="2" t="inlineStr">
        <is>
          <t>yes</t>
        </is>
      </c>
      <c r="J168" s="2" t="inlineStr">
        <is>
          <t>yes</t>
        </is>
      </c>
      <c r="K168" s="2" t="inlineStr">
        <is>
          <t>https://docs.python.org/3/tutorial/venv.html</t>
        </is>
      </c>
      <c r="L168" s="2" t="inlineStr">
        <is>
          <t>12. Virtual Environments and Packages ¶</t>
        </is>
      </c>
      <c r="M168" s="2" t="inlineStr">
        <is>
          <t>12.2. Creating Virtual Environments ¶
The module used to create and manage virtual environments is called
venv.  venv will install the Python version from which
the command was run (as reported by the --version option).
For instance, executing the c</t>
        </is>
      </c>
    </row>
    <row r="169">
      <c r="A169" s="2" t="inlineStr">
        <is>
          <t>R5</t>
        </is>
      </c>
      <c r="B169" s="2" t="inlineStr">
        <is>
          <t>W1</t>
        </is>
      </c>
      <c r="C169" s="2" t="inlineStr">
        <is>
          <t>w1-q4</t>
        </is>
      </c>
      <c r="D169" s="2" t="inlineStr">
        <is>
          <t>When is the else clause of a for loop executed?</t>
        </is>
      </c>
      <c r="E169" s="2" t="inlineStr">
        <is>
          <t>text</t>
        </is>
      </c>
      <c r="F169" s="2" t="inlineStr">
        <is>
          <t>if no break occurred</t>
        </is>
      </c>
      <c r="G169" s="2" t="inlineStr">
        <is>
          <t>R5</t>
        </is>
      </c>
      <c r="H169" s="2" t="n">
        <v>2</v>
      </c>
      <c r="I169" s="2" t="inlineStr">
        <is>
          <t>no</t>
        </is>
      </c>
      <c r="J169" s="2" t="inlineStr">
        <is>
          <t>yes</t>
        </is>
      </c>
      <c r="K169" s="2" t="inlineStr">
        <is>
          <t>https://docs.python.org/3/tutorial/controlflow.html</t>
        </is>
      </c>
      <c r="L169" s="2" t="inlineStr">
        <is>
          <t>4. More Control Flow Tools ¶ &gt; 4.5. else Clauses on Loops ¶</t>
        </is>
      </c>
      <c r="M169" s="2" t="inlineStr">
        <is>
          <t>.  Look closely: the else clause belongs to
the for loop, not the if statement.)
One way to think of the else clause is to imagine it paired with the if
inside the loop.  As the loop executes, it will run a sequence like
if/if/if/else. The if is ins</t>
        </is>
      </c>
    </row>
    <row r="170">
      <c r="A170" s="2" t="inlineStr">
        <is>
          <t>R5</t>
        </is>
      </c>
      <c r="B170" s="2" t="inlineStr">
        <is>
          <t>W1</t>
        </is>
      </c>
      <c r="C170" s="2" t="inlineStr">
        <is>
          <t>w1-q5</t>
        </is>
      </c>
      <c r="D170" s="2" t="inlineStr">
        <is>
          <t>What does the pass statement do?</t>
        </is>
      </c>
      <c r="E170" s="2" t="inlineStr">
        <is>
          <t>text</t>
        </is>
      </c>
      <c r="F170" s="2" t="inlineStr">
        <is>
          <t>the pass statement does nothing</t>
        </is>
      </c>
      <c r="G170" s="2" t="inlineStr">
        <is>
          <t>R5</t>
        </is>
      </c>
      <c r="H170" s="2" t="n">
        <v>1</v>
      </c>
      <c r="I170" s="2" t="inlineStr">
        <is>
          <t>yes</t>
        </is>
      </c>
      <c r="J170" s="2" t="inlineStr">
        <is>
          <t>yes</t>
        </is>
      </c>
      <c r="K170" s="2" t="inlineStr">
        <is>
          <t>https://docs.python.org/3/tutorial/controlflow.html</t>
        </is>
      </c>
      <c r="L170" s="2" t="inlineStr">
        <is>
          <t>4. More Control Flow Tools ¶</t>
        </is>
      </c>
      <c r="M170" s="2" t="inlineStr">
        <is>
          <t>4.6. pass Statements ¶
The pass statement does nothing. It can be used when a statement is
required syntactically but the program requires no action. For example:
&gt;&gt;&gt; while True:
...     pass  # Busy-wait for keyboard interrupt (Ctrl+C)
...
This i</t>
        </is>
      </c>
    </row>
    <row r="171">
      <c r="A171" s="2" t="inlineStr">
        <is>
          <t>R5</t>
        </is>
      </c>
      <c r="B171" s="2" t="inlineStr">
        <is>
          <t>W1</t>
        </is>
      </c>
      <c r="C171" s="2" t="inlineStr">
        <is>
          <t>w1-q6</t>
        </is>
      </c>
      <c r="D171" s="2" t="inlineStr">
        <is>
          <t>What does the list index() method return?</t>
        </is>
      </c>
      <c r="E171" s="2" t="inlineStr">
        <is>
          <t>list</t>
        </is>
      </c>
      <c r="F171" s="2" t="inlineStr">
        <is>
          <t>zero-based index of the first occurrence</t>
        </is>
      </c>
      <c r="G171" s="2" t="inlineStr">
        <is>
          <t>R5</t>
        </is>
      </c>
      <c r="H171" s="2" t="n">
        <v>3</v>
      </c>
      <c r="I171" s="2" t="inlineStr">
        <is>
          <t>no</t>
        </is>
      </c>
      <c r="J171" s="2" t="inlineStr">
        <is>
          <t>yes</t>
        </is>
      </c>
      <c r="K171" s="2" t="inlineStr">
        <is>
          <t>https://developer.mozilla.org/en-US/docs/Web/JavaScript/Reference/Global_Objects/Array</t>
        </is>
      </c>
      <c r="L171" s="2" t="inlineStr">
        <is>
          <t>Array &gt; Description &gt; Iterative methods</t>
        </is>
      </c>
      <c r="M171" s="2" t="inlineStr">
        <is>
          <t>Note the following:
Not all methods do the i in this test. The find, findIndex, findLast, and findLastIndex methods do not, but other methods do.
The length is memorized before the loop starts. This affects how insertions and deletions during itera</t>
        </is>
      </c>
    </row>
    <row r="172">
      <c r="A172" s="2" t="inlineStr">
        <is>
          <t>R5</t>
        </is>
      </c>
      <c r="B172" s="2" t="inlineStr">
        <is>
          <t>W1</t>
        </is>
      </c>
      <c r="C172" s="2" t="inlineStr">
        <is>
          <t>w1-q7</t>
        </is>
      </c>
      <c r="D172" s="2" t="inlineStr">
        <is>
          <t>What is the short name for formatted string literals?</t>
        </is>
      </c>
      <c r="E172" s="2" t="inlineStr">
        <is>
          <t>text</t>
        </is>
      </c>
      <c r="F172" s="2" t="inlineStr">
        <is>
          <t>also called f-strings</t>
        </is>
      </c>
      <c r="G172" s="2" t="inlineStr">
        <is>
          <t>R5</t>
        </is>
      </c>
      <c r="H172" s="2" t="n">
        <v>2</v>
      </c>
      <c r="I172" s="2" t="inlineStr">
        <is>
          <t>no</t>
        </is>
      </c>
      <c r="J172" s="2" t="inlineStr">
        <is>
          <t>yes</t>
        </is>
      </c>
      <c r="K172" s="2" t="inlineStr">
        <is>
          <t>https://docs.python.org/3/tutorial/inputoutput.html</t>
        </is>
      </c>
      <c r="L172" s="2" t="inlineStr">
        <is>
          <t>7. Input and Output ¶ &gt; 7.1. Fancier Output Formatting ¶ &gt; 7.1.1. Formatted String Literals ¶</t>
        </is>
      </c>
      <c r="M172" s="2" t="inlineStr">
        <is>
          <t>a minimum
number of characters wide.  This is useful for making columns line up.
&gt;&gt;&gt; table = {'Sjoerd': 4127, 'Jack': 4098, 'Dcab': 7678}
&gt;&gt;&gt; for name, phone in table.items():
...     print(f'{name:10} ==&gt; {phone:10d}')
...
Sjoerd     ==&gt;       4127</t>
        </is>
      </c>
    </row>
    <row r="173">
      <c r="A173" s="2" t="inlineStr">
        <is>
          <t>R5</t>
        </is>
      </c>
      <c r="B173" s="2" t="inlineStr">
        <is>
          <t>W1</t>
        </is>
      </c>
      <c r="C173" s="2" t="inlineStr">
        <is>
          <t>w1-q8</t>
        </is>
      </c>
      <c r="D173" s="2" t="inlineStr">
        <is>
          <t>On what date will Python 4.0 be released according to the tutorial?</t>
        </is>
      </c>
      <c r="E173" s="2" t="inlineStr">
        <is>
          <t>unanswerable</t>
        </is>
      </c>
      <c r="F173" s="2" t="inlineStr">
        <is>
          <t>(not in source)</t>
        </is>
      </c>
      <c r="G173" s="2" t="inlineStr">
        <is>
          <t>R5</t>
        </is>
      </c>
      <c r="H173" s="2" t="n"/>
      <c r="I173" s="2" t="inlineStr">
        <is>
          <t>n/a</t>
        </is>
      </c>
      <c r="J173" s="2" t="inlineStr">
        <is>
          <t>n/a</t>
        </is>
      </c>
      <c r="K173" s="2" t="inlineStr">
        <is>
          <t>https://en.wikipedia.org/wiki/Python_(programming_language)</t>
        </is>
      </c>
      <c r="L173" s="2" t="inlineStr">
        <is>
          <t>Python (programming language) &gt; References</t>
        </is>
      </c>
      <c r="M173" s="2" t="inlineStr">
        <is>
          <t>↑ "Python Developer's Guide – Python Developer's Guide". devguide.python.org. Archived from the original on 9 November 2020. Retrieved 17 December 2019.
↑ Hughes, Owen (24 May 2021). "Programming languages: Why Python 4.0 might never arrive, accordi</t>
        </is>
      </c>
    </row>
    <row r="174">
      <c r="A174" s="2" t="inlineStr">
        <is>
          <t>R5</t>
        </is>
      </c>
      <c r="B174" s="2" t="inlineStr">
        <is>
          <t>W2</t>
        </is>
      </c>
      <c r="C174" s="2" t="inlineStr">
        <is>
          <t>w2-q1</t>
        </is>
      </c>
      <c r="D174" s="2" t="inlineStr">
        <is>
          <t>What is the elevation of Mount Everest in metres?</t>
        </is>
      </c>
      <c r="E174" s="2" t="inlineStr">
        <is>
          <t>table</t>
        </is>
      </c>
      <c r="F174" s="2" t="inlineStr">
        <is>
          <t>8,848.86 m</t>
        </is>
      </c>
      <c r="G174" s="2" t="inlineStr">
        <is>
          <t>R5</t>
        </is>
      </c>
      <c r="H174" s="2" t="n">
        <v>2</v>
      </c>
      <c r="I174" s="2" t="inlineStr">
        <is>
          <t>no</t>
        </is>
      </c>
      <c r="J174" s="2" t="inlineStr">
        <is>
          <t>yes</t>
        </is>
      </c>
      <c r="K174" s="2" t="inlineStr">
        <is>
          <t>https://en.wikipedia.org/wiki/Mount_Everest</t>
        </is>
      </c>
      <c r="L174" s="2" t="inlineStr">
        <is>
          <t>Mount Everest &gt; Surveys</t>
        </is>
      </c>
      <c r="M174" s="2" t="inlineStr">
        <is>
          <t>21st century
On 9 October 2005, after several months of measurement and calculation, the Chinese Academy of Sciences and State Bureau of Surveying and Mapping announced the height of Everest as 8,844.43 m (29,017.16 ft) with accuracy of ±0.21 m (8.3</t>
        </is>
      </c>
    </row>
    <row r="175">
      <c r="A175" s="2" t="inlineStr">
        <is>
          <t>R5</t>
        </is>
      </c>
      <c r="B175" s="2" t="inlineStr">
        <is>
          <t>W2</t>
        </is>
      </c>
      <c r="C175" s="2" t="inlineStr">
        <is>
          <t>w2-q2</t>
        </is>
      </c>
      <c r="D175" s="2" t="inlineStr">
        <is>
          <t>How many individual reefs make up the Great Barrier Reef?</t>
        </is>
      </c>
      <c r="E175" s="2" t="inlineStr">
        <is>
          <t>text</t>
        </is>
      </c>
      <c r="F175" s="2" t="inlineStr">
        <is>
          <t>over 2,900 individual reefs</t>
        </is>
      </c>
      <c r="G175" s="2" t="inlineStr">
        <is>
          <t>R5</t>
        </is>
      </c>
      <c r="H175" s="2" t="n"/>
      <c r="I175" s="2" t="inlineStr">
        <is>
          <t>no</t>
        </is>
      </c>
      <c r="J175" s="2" t="inlineStr">
        <is>
          <t>no</t>
        </is>
      </c>
      <c r="K175" s="2" t="inlineStr">
        <is>
          <t>https://en.wikipedia.org/wiki/Great_Barrier_Reef</t>
        </is>
      </c>
      <c r="L175" s="2" t="inlineStr">
        <is>
          <t>Great Barrier Reef</t>
        </is>
      </c>
      <c r="M175" s="2" t="inlineStr">
        <is>
          <t xml:space="preserve"> The reef is located in the Coral Sea, off the coast of Queensland, Australia.  
It is separated from the coast by a channel 160 kilometres (100 mi) wide in places and over 61 metres (200 ft) deep.[7] The Great Barrier Reef can be seen from outer sp</t>
        </is>
      </c>
    </row>
    <row r="176">
      <c r="A176" s="2" t="inlineStr">
        <is>
          <t>R5</t>
        </is>
      </c>
      <c r="B176" s="2" t="inlineStr">
        <is>
          <t>W2</t>
        </is>
      </c>
      <c r="C176" s="2" t="inlineStr">
        <is>
          <t>w2-q3</t>
        </is>
      </c>
      <c r="D176" s="2" t="inlineStr">
        <is>
          <t>What is the average discharge of the Amazon River?</t>
        </is>
      </c>
      <c r="E176" s="2" t="inlineStr">
        <is>
          <t>text</t>
        </is>
      </c>
      <c r="F176" s="2" t="inlineStr">
        <is>
          <t>215,000 to 230,000 cubic meters per second</t>
        </is>
      </c>
      <c r="G176" s="2" t="inlineStr">
        <is>
          <t>R5</t>
        </is>
      </c>
      <c r="H176" s="2" t="n">
        <v>2</v>
      </c>
      <c r="I176" s="2" t="inlineStr">
        <is>
          <t>no</t>
        </is>
      </c>
      <c r="J176" s="2" t="inlineStr">
        <is>
          <t>yes</t>
        </is>
      </c>
      <c r="K176" s="2" t="inlineStr">
        <is>
          <t>https://en.wikipedia.org/wiki/Amazon_River</t>
        </is>
      </c>
      <c r="L176" s="2" t="inlineStr">
        <is>
          <t>Amazon River &gt; Discharge</t>
        </is>
      </c>
      <c r="M176" s="2" t="inlineStr">
        <is>
          <t>Average discharge at the estuary; Period from 2003 to 2015: 7,200 km3/a (230,000 m3/s)[80][81]
Year
(km3)
(m3/s)
Year
(km3)
(m3/s)
2003
6,470
205,000
2010
6,464
205,000
2004
6,747
214,000
2011
7,378
234,000
2005
6,522
207,000
20</t>
        </is>
      </c>
    </row>
    <row r="177">
      <c r="A177" s="2" t="inlineStr">
        <is>
          <t>R5</t>
        </is>
      </c>
      <c r="B177" s="2" t="inlineStr">
        <is>
          <t>W2</t>
        </is>
      </c>
      <c r="C177" s="2" t="inlineStr">
        <is>
          <t>w2-q4</t>
        </is>
      </c>
      <c r="D177" s="2" t="inlineStr">
        <is>
          <t>When was the euro introduced to world financial markets as an accounting currency?</t>
        </is>
      </c>
      <c r="E177" s="2" t="inlineStr">
        <is>
          <t>text</t>
        </is>
      </c>
      <c r="F177" s="2" t="inlineStr">
        <is>
          <t>1 january 1999</t>
        </is>
      </c>
      <c r="G177" s="2" t="inlineStr">
        <is>
          <t>R5</t>
        </is>
      </c>
      <c r="H177" s="2" t="n">
        <v>1</v>
      </c>
      <c r="I177" s="2" t="inlineStr">
        <is>
          <t>yes</t>
        </is>
      </c>
      <c r="J177" s="2" t="inlineStr">
        <is>
          <t>yes</t>
        </is>
      </c>
      <c r="K177" s="2" t="inlineStr">
        <is>
          <t>https://en.wikipedia.org/wiki/Euro</t>
        </is>
      </c>
      <c r="L177" s="2" t="inlineStr">
        <is>
          <t>Euro</t>
        </is>
      </c>
      <c r="M177" s="2" t="inlineStr">
        <is>
          <t xml:space="preserve">hest combined values of banknotes and coins in circulation in the world.[15][16]
The name euro was officially adopted on 16 December 1995 in Madrid.[17] The euro was introduced to world financial markets as an accounting currency on 1 January 1999, </t>
        </is>
      </c>
    </row>
    <row r="178">
      <c r="A178" s="2" t="inlineStr">
        <is>
          <t>R5</t>
        </is>
      </c>
      <c r="B178" s="2" t="inlineStr">
        <is>
          <t>W2</t>
        </is>
      </c>
      <c r="C178" s="2" t="inlineStr">
        <is>
          <t>w2-q5</t>
        </is>
      </c>
      <c r="D178" s="2" t="inlineStr">
        <is>
          <t>Who published the first generally accepted periodic table, and in what year?</t>
        </is>
      </c>
      <c r="E178" s="2" t="inlineStr">
        <is>
          <t>text</t>
        </is>
      </c>
      <c r="F178" s="2" t="inlineStr">
        <is>
          <t>dmitri mendeleev in 1869</t>
        </is>
      </c>
      <c r="G178" s="2" t="inlineStr">
        <is>
          <t>R5</t>
        </is>
      </c>
      <c r="H178" s="2" t="n">
        <v>1</v>
      </c>
      <c r="I178" s="2" t="inlineStr">
        <is>
          <t>yes</t>
        </is>
      </c>
      <c r="J178" s="2" t="inlineStr">
        <is>
          <t>yes</t>
        </is>
      </c>
      <c r="K178" s="2" t="inlineStr">
        <is>
          <t>https://en.wikipedia.org/wiki/Periodic_table</t>
        </is>
      </c>
      <c r="L178" s="2" t="inlineStr">
        <is>
          <t>Periodic table</t>
        </is>
      </c>
      <c r="M178" s="2" t="inlineStr">
        <is>
          <t>The first periodic table to become generally accepted was that of the Russian chemist Dmitri Mendeleev in 1869; he formulated the periodic law as a dependence of chemical properties on atomic mass. As not all elements were then known, there were gaps</t>
        </is>
      </c>
    </row>
    <row r="179">
      <c r="A179" s="2" t="inlineStr">
        <is>
          <t>R5</t>
        </is>
      </c>
      <c r="B179" s="2" t="inlineStr">
        <is>
          <t>W2</t>
        </is>
      </c>
      <c r="C179" s="2" t="inlineStr">
        <is>
          <t>w2-q6</t>
        </is>
      </c>
      <c r="D179" s="2" t="inlineStr">
        <is>
          <t>What is the Moon's average distance from Earth?</t>
        </is>
      </c>
      <c r="E179" s="2" t="inlineStr">
        <is>
          <t>text</t>
        </is>
      </c>
      <c r="F179" s="2" t="inlineStr">
        <is>
          <t>378,000 kilometers</t>
        </is>
      </c>
      <c r="G179" s="2" t="inlineStr">
        <is>
          <t>R5</t>
        </is>
      </c>
      <c r="H179" s="2" t="n"/>
      <c r="I179" s="2" t="inlineStr">
        <is>
          <t>no</t>
        </is>
      </c>
      <c r="J179" s="2" t="inlineStr">
        <is>
          <t>no</t>
        </is>
      </c>
      <c r="K179" s="2" t="inlineStr">
        <is>
          <t>https://en.wikipedia.org/wiki/Moon</t>
        </is>
      </c>
      <c r="L179" s="2" t="inlineStr">
        <is>
          <t>Moon &gt; Explanatory notes</t>
        </is>
      </c>
      <c r="M179" s="2" t="inlineStr">
        <is>
          <t xml:space="preserve">↑ The mean distance of the Moon from the Earth is 
        384401
    {\displaystyle 384401}
 km. The equatorial radius of Earth is 
        6.378136
        ⋅
          10
            </t>
        </is>
      </c>
    </row>
    <row r="180">
      <c r="A180" s="2" t="inlineStr">
        <is>
          <t>R5</t>
        </is>
      </c>
      <c r="B180" s="2" t="inlineStr">
        <is>
          <t>W2</t>
        </is>
      </c>
      <c r="C180" s="2" t="inlineStr">
        <is>
          <t>w2-q7</t>
        </is>
      </c>
      <c r="D180" s="2" t="inlineStr">
        <is>
          <t>When was Python 3.0 released?</t>
        </is>
      </c>
      <c r="E180" s="2" t="inlineStr">
        <is>
          <t>text</t>
        </is>
      </c>
      <c r="F180" s="2" t="inlineStr">
        <is>
          <t>python 3.0, released in 2008</t>
        </is>
      </c>
      <c r="G180" s="2" t="inlineStr">
        <is>
          <t>R5</t>
        </is>
      </c>
      <c r="H180" s="2" t="n">
        <v>2</v>
      </c>
      <c r="I180" s="2" t="inlineStr">
        <is>
          <t>no</t>
        </is>
      </c>
      <c r="J180" s="2" t="inlineStr">
        <is>
          <t>yes</t>
        </is>
      </c>
      <c r="K180" s="2" t="inlineStr">
        <is>
          <t>https://en.wikipedia.org/wiki/Python_(programming_language)</t>
        </is>
      </c>
      <c r="L180" s="2" t="inlineStr">
        <is>
          <t>Python (programming language) &gt; History</t>
        </is>
      </c>
      <c r="M180" s="2" t="inlineStr">
        <is>
          <t>12), with the plus signifying (at least some) "backported security updates".[56]
Python 3.0 was released on 3 December 2008, and was a major revision and not completely backward-compatible with earlier versions, with some new semantics and changed s</t>
        </is>
      </c>
    </row>
    <row r="181">
      <c r="A181" s="2" t="inlineStr">
        <is>
          <t>R5</t>
        </is>
      </c>
      <c r="B181" s="2" t="inlineStr">
        <is>
          <t>W2</t>
        </is>
      </c>
      <c r="C181" s="2" t="inlineStr">
        <is>
          <t>w2-q8</t>
        </is>
      </c>
      <c r="D181" s="2" t="inlineStr">
        <is>
          <t>Who won the men's downhill at the 2030 Winter Olympics?</t>
        </is>
      </c>
      <c r="E181" s="2" t="inlineStr">
        <is>
          <t>unanswerable</t>
        </is>
      </c>
      <c r="F181" s="2" t="inlineStr">
        <is>
          <t>(not in source)</t>
        </is>
      </c>
      <c r="G181" s="2" t="inlineStr">
        <is>
          <t>R5</t>
        </is>
      </c>
      <c r="H181" s="2" t="n"/>
      <c r="I181" s="2" t="inlineStr">
        <is>
          <t>n/a</t>
        </is>
      </c>
      <c r="J181" s="2" t="inlineStr">
        <is>
          <t>n/a</t>
        </is>
      </c>
      <c r="K181" s="2" t="inlineStr">
        <is>
          <t>https://en.wikipedia.org/wiki/Olympic_Games</t>
        </is>
      </c>
      <c r="L181" s="2" t="inlineStr">
        <is>
          <t>Olympic Games &gt; References</t>
        </is>
      </c>
      <c r="M181" s="2" t="inlineStr">
        <is>
          <t>↑ Mather, Victor (21 February 2018). "Desperately Seeking Skiers for a Budding Olympic Sport". The New York Times. Archived from the original on 11 March 2018. Retrieved 24 June 2018.
↑ "Men to compete in artistic swimming at Olympics for first time</t>
        </is>
      </c>
    </row>
    <row r="182">
      <c r="A182" s="2" t="inlineStr">
        <is>
          <t>R5</t>
        </is>
      </c>
      <c r="B182" s="2" t="inlineStr">
        <is>
          <t>W3</t>
        </is>
      </c>
      <c r="C182" s="2" t="inlineStr">
        <is>
          <t>w3-q1</t>
        </is>
      </c>
      <c r="D182" s="2" t="inlineStr">
        <is>
          <t>What was the minimum hourly wage for workers under 18 from April 2024 to March 2025?</t>
        </is>
      </c>
      <c r="E182" s="2" t="inlineStr">
        <is>
          <t>table</t>
        </is>
      </c>
      <c r="F182" s="2" t="inlineStr">
        <is>
          <t>£6.40</t>
        </is>
      </c>
      <c r="G182" s="2" t="inlineStr">
        <is>
          <t>R5</t>
        </is>
      </c>
      <c r="H182" s="2" t="n">
        <v>1</v>
      </c>
      <c r="I182" s="2" t="inlineStr">
        <is>
          <t>yes</t>
        </is>
      </c>
      <c r="J182" s="2" t="inlineStr">
        <is>
          <t>yes</t>
        </is>
      </c>
      <c r="K182" s="2" t="inlineStr">
        <is>
          <t>https://www.gov.uk/national-minimum-wage-rates</t>
        </is>
      </c>
      <c r="L182" s="2" t="inlineStr">
        <is>
          <t>National Minimum Wage and National Living Wage rates &gt; Previous rates</t>
        </is>
      </c>
      <c r="M182" s="2" t="inlineStr">
        <is>
          <t>Rates between 1 April 2024 and 31 March 2026
Since 1 April 2024 the National Living Wage has been for those aged 21 and over.
21 and over
18 to 20
Under 18
Apprentice
April 2025 to March 2026
£12.21
£10
£7.55
£7.55
April 2024 to March 2025</t>
        </is>
      </c>
    </row>
    <row r="183">
      <c r="A183" s="2" t="inlineStr">
        <is>
          <t>R5</t>
        </is>
      </c>
      <c r="B183" s="2" t="inlineStr">
        <is>
          <t>W3</t>
        </is>
      </c>
      <c r="C183" s="2" t="inlineStr">
        <is>
          <t>w3-q2</t>
        </is>
      </c>
      <c r="D183" s="2" t="inlineStr">
        <is>
          <t>Which taxable income band does the 40% higher rate of Income Tax cover?</t>
        </is>
      </c>
      <c r="E183" s="2" t="inlineStr">
        <is>
          <t>table</t>
        </is>
      </c>
      <c r="F183" s="2" t="inlineStr">
        <is>
          <t>£50,271 to £125,140</t>
        </is>
      </c>
      <c r="G183" s="2" t="inlineStr">
        <is>
          <t>R5</t>
        </is>
      </c>
      <c r="H183" s="2" t="n">
        <v>1</v>
      </c>
      <c r="I183" s="2" t="inlineStr">
        <is>
          <t>yes</t>
        </is>
      </c>
      <c r="J183" s="2" t="inlineStr">
        <is>
          <t>yes</t>
        </is>
      </c>
      <c r="K183" s="2" t="inlineStr">
        <is>
          <t>https://www.gov.uk/income-tax-rates</t>
        </is>
      </c>
      <c r="L183" s="2" t="inlineStr">
        <is>
          <t>Current rates and allowances</t>
        </is>
      </c>
      <c r="M183" s="2" t="inlineStr">
        <is>
          <t>Income Tax rates and bands
The table shows the tax rates you pay in each band if you have a standard Personal Allowance of £12,570.
Income tax bands are different if you live in Scotland.
Band
Taxable income
Tax rate
Personal Allowance
Up to £</t>
        </is>
      </c>
    </row>
    <row r="184">
      <c r="A184" s="2" t="inlineStr">
        <is>
          <t>R5</t>
        </is>
      </c>
      <c r="B184" s="2" t="inlineStr">
        <is>
          <t>W3</t>
        </is>
      </c>
      <c r="C184" s="2" t="inlineStr">
        <is>
          <t>w3-q3</t>
        </is>
      </c>
      <c r="D184" s="2" t="inlineStr">
        <is>
          <t>How much Statutory Sick Pay can you get per week?</t>
        </is>
      </c>
      <c r="E184" s="2" t="inlineStr">
        <is>
          <t>text</t>
        </is>
      </c>
      <c r="F184" s="2" t="inlineStr">
        <is>
          <t>£123.25</t>
        </is>
      </c>
      <c r="G184" s="2" t="inlineStr">
        <is>
          <t>R5</t>
        </is>
      </c>
      <c r="H184" s="2" t="n">
        <v>1</v>
      </c>
      <c r="I184" s="2" t="inlineStr">
        <is>
          <t>yes</t>
        </is>
      </c>
      <c r="J184" s="2" t="inlineStr">
        <is>
          <t>yes</t>
        </is>
      </c>
      <c r="K184" s="2" t="inlineStr">
        <is>
          <t>https://www.gov.uk/statutory-sick-pay</t>
        </is>
      </c>
      <c r="L184" s="2" t="inlineStr"/>
      <c r="M184" s="2" t="inlineStr">
        <is>
          <t xml:space="preserve">Overview
You can get up to £123.25 per week Statutory Sick Pay (SSP) if you’re too ill to work. It’s paid by your employer for up to 28 weeks.
This guide is also available in Welsh (Cymraeg).
You cannot get less than the statutory amount. You can </t>
        </is>
      </c>
    </row>
    <row r="185">
      <c r="A185" s="2" t="inlineStr">
        <is>
          <t>R5</t>
        </is>
      </c>
      <c r="B185" s="2" t="inlineStr">
        <is>
          <t>W3</t>
        </is>
      </c>
      <c r="C185" s="2" t="inlineStr">
        <is>
          <t>w3-q4</t>
        </is>
      </c>
      <c r="D185" s="2" t="inlineStr">
        <is>
          <t>How many days of paid annual leave must a worker on a 5-day week receive?</t>
        </is>
      </c>
      <c r="E185" s="2" t="inlineStr">
        <is>
          <t>text</t>
        </is>
      </c>
      <c r="F185" s="2" t="inlineStr">
        <is>
          <t>at least 28 days</t>
        </is>
      </c>
      <c r="G185" s="2" t="inlineStr">
        <is>
          <t>R5</t>
        </is>
      </c>
      <c r="H185" s="2" t="n">
        <v>1</v>
      </c>
      <c r="I185" s="2" t="inlineStr">
        <is>
          <t>yes</t>
        </is>
      </c>
      <c r="J185" s="2" t="inlineStr">
        <is>
          <t>yes</t>
        </is>
      </c>
      <c r="K185" s="2" t="inlineStr">
        <is>
          <t>https://www.gov.uk/holiday-entitlement-rights</t>
        </is>
      </c>
      <c r="L185" s="2" t="inlineStr">
        <is>
          <t>Entitlement</t>
        </is>
      </c>
      <c r="M185" s="2" t="inlineStr">
        <is>
          <t>Statutory annual leave entitlement
Most workers who work a 5-day week must receive at least 28 days’ paid annual leave a year. This is the equivalent of 5.6 weeks of holiday.</t>
        </is>
      </c>
    </row>
    <row r="186">
      <c r="A186" s="2" t="inlineStr">
        <is>
          <t>R5</t>
        </is>
      </c>
      <c r="B186" s="2" t="inlineStr">
        <is>
          <t>W3</t>
        </is>
      </c>
      <c r="C186" s="2" t="inlineStr">
        <is>
          <t>w3-q5</t>
        </is>
      </c>
      <c r="D186" s="2" t="inlineStr">
        <is>
          <t>How long must you have worked for your employer to qualify for statutory redundancy pay?</t>
        </is>
      </c>
      <c r="E186" s="2" t="inlineStr">
        <is>
          <t>text</t>
        </is>
      </c>
      <c r="F186" s="2" t="inlineStr">
        <is>
          <t>at least 2 years</t>
        </is>
      </c>
      <c r="G186" s="2" t="inlineStr">
        <is>
          <t>R5</t>
        </is>
      </c>
      <c r="H186" s="2" t="n">
        <v>1</v>
      </c>
      <c r="I186" s="2" t="inlineStr">
        <is>
          <t>yes</t>
        </is>
      </c>
      <c r="J186" s="2" t="inlineStr">
        <is>
          <t>yes</t>
        </is>
      </c>
      <c r="K186" s="2" t="inlineStr">
        <is>
          <t>https://www.gov.uk/calculate-your-redundancy-pay</t>
        </is>
      </c>
      <c r="L186" s="2" t="inlineStr"/>
      <c r="M186" s="2" t="inlineStr">
        <is>
          <t>Calculate your statutory redundancy pay
Calculate how much statutory redundancy you can get. It’s based on age, weekly pay and number of years in the job.
Your weekly pay is the average you earned per week over the 12 weeks before the day you got y</t>
        </is>
      </c>
    </row>
    <row r="187">
      <c r="A187" s="2" t="inlineStr">
        <is>
          <t>R5</t>
        </is>
      </c>
      <c r="B187" s="2" t="inlineStr">
        <is>
          <t>W3</t>
        </is>
      </c>
      <c r="C187" s="2" t="inlineStr">
        <is>
          <t>w3-q6</t>
        </is>
      </c>
      <c r="D187" s="2" t="inlineStr">
        <is>
          <t>What is the first vehicle tax payment for a petrol car emitting 111 to 130g/km of CO2?</t>
        </is>
      </c>
      <c r="E187" s="2" t="inlineStr">
        <is>
          <t>table</t>
        </is>
      </c>
      <c r="F187" s="2" t="inlineStr">
        <is>
          <t>111 to 130g/km + £455</t>
        </is>
      </c>
      <c r="G187" s="2" t="inlineStr">
        <is>
          <t>R5</t>
        </is>
      </c>
      <c r="H187" s="2" t="n">
        <v>2</v>
      </c>
      <c r="I187" s="2" t="inlineStr">
        <is>
          <t>no</t>
        </is>
      </c>
      <c r="J187" s="2" t="inlineStr">
        <is>
          <t>yes</t>
        </is>
      </c>
      <c r="K187" s="2" t="inlineStr">
        <is>
          <t>https://www.gov.uk/vehicle-tax-rate-tables</t>
        </is>
      </c>
      <c r="L187" s="2" t="inlineStr">
        <is>
          <t>Cars registered on or after 1 April 2017</t>
        </is>
      </c>
      <c r="M187" s="2" t="inlineStr">
        <is>
          <t>First tax payment when you register the vehicle
You’ll pay a rate based on a vehicle’s CO2 emissions the first time it’s registered.
This also applies to some motorhomes.
You have to pay a higher rate for diesel cars that do not meet the Real Driv</t>
        </is>
      </c>
    </row>
    <row r="188">
      <c r="A188" s="2" t="inlineStr">
        <is>
          <t>R5</t>
        </is>
      </c>
      <c r="B188" s="2" t="inlineStr">
        <is>
          <t>W3</t>
        </is>
      </c>
      <c r="C188" s="2" t="inlineStr">
        <is>
          <t>w3-q7</t>
        </is>
      </c>
      <c r="D188" s="2" t="inlineStr">
        <is>
          <t>From when can an employee make a request for flexible working?</t>
        </is>
      </c>
      <c r="E188" s="2" t="inlineStr">
        <is>
          <t>text</t>
        </is>
      </c>
      <c r="F188" s="2" t="inlineStr">
        <is>
          <t>from their first day in a job</t>
        </is>
      </c>
      <c r="G188" s="2" t="inlineStr">
        <is>
          <t>R5</t>
        </is>
      </c>
      <c r="H188" s="2" t="n">
        <v>1</v>
      </c>
      <c r="I188" s="2" t="inlineStr">
        <is>
          <t>yes</t>
        </is>
      </c>
      <c r="J188" s="2" t="inlineStr">
        <is>
          <t>yes</t>
        </is>
      </c>
      <c r="K188" s="2" t="inlineStr">
        <is>
          <t>https://www.gov.uk/flexible-working</t>
        </is>
      </c>
      <c r="L188" s="2" t="inlineStr"/>
      <c r="M188" s="2" t="inlineStr">
        <is>
          <t>Overview
Flexible working is a way of working that suits an employee’s needs, for example having flexible start and finish times, or working from home.
Flexible working rules are different in Northern Ireland.
All employees have the legal right to</t>
        </is>
      </c>
    </row>
    <row r="189">
      <c r="A189" s="2" t="inlineStr">
        <is>
          <t>R5</t>
        </is>
      </c>
      <c r="B189" s="2" t="inlineStr">
        <is>
          <t>W3</t>
        </is>
      </c>
      <c r="C189" s="2" t="inlineStr">
        <is>
          <t>w3-q8</t>
        </is>
      </c>
      <c r="D189" s="2" t="inlineStr">
        <is>
          <t>What is the weekly rate of Statutory Paternity Pay?</t>
        </is>
      </c>
      <c r="E189" s="2" t="inlineStr">
        <is>
          <t>unanswerable</t>
        </is>
      </c>
      <c r="F189" s="2" t="inlineStr">
        <is>
          <t>(not in source)</t>
        </is>
      </c>
      <c r="G189" s="2" t="inlineStr">
        <is>
          <t>R5</t>
        </is>
      </c>
      <c r="H189" s="2" t="n"/>
      <c r="I189" s="2" t="inlineStr">
        <is>
          <t>n/a</t>
        </is>
      </c>
      <c r="J189" s="2" t="inlineStr">
        <is>
          <t>n/a</t>
        </is>
      </c>
      <c r="K189" s="2" t="inlineStr">
        <is>
          <t>https://www.gov.uk/statutory-sick-pay</t>
        </is>
      </c>
      <c r="L189" s="2" t="inlineStr"/>
      <c r="M189" s="2" t="inlineStr">
        <is>
          <t>Statutory Sick Pay (SSP)</t>
        </is>
      </c>
    </row>
    <row r="190">
      <c r="A190" s="2" t="inlineStr">
        <is>
          <t>R5</t>
        </is>
      </c>
      <c r="B190" s="2" t="inlineStr">
        <is>
          <t>W4</t>
        </is>
      </c>
      <c r="C190" s="2" t="inlineStr">
        <is>
          <t>w4-q1</t>
        </is>
      </c>
      <c r="D190" s="2" t="inlineStr">
        <is>
          <t>What does HTTP status 418 I'm a teapot mean?</t>
        </is>
      </c>
      <c r="E190" s="2" t="inlineStr">
        <is>
          <t>list</t>
        </is>
      </c>
      <c r="F190" s="2" t="inlineStr">
        <is>
          <t>brew coffee with a teapot</t>
        </is>
      </c>
      <c r="G190" s="2" t="inlineStr">
        <is>
          <t>R5</t>
        </is>
      </c>
      <c r="H190" s="2" t="n">
        <v>1</v>
      </c>
      <c r="I190" s="2" t="inlineStr">
        <is>
          <t>yes</t>
        </is>
      </c>
      <c r="J190" s="2" t="inlineStr">
        <is>
          <t>yes</t>
        </is>
      </c>
      <c r="K190" s="2" t="inlineStr">
        <is>
          <t>https://developer.mozilla.org/en-US/docs/Web/HTTP/Reference/Status</t>
        </is>
      </c>
      <c r="L190" s="2" t="inlineStr">
        <is>
          <t>HTTP response status codes &gt; Client error responses</t>
        </is>
      </c>
      <c r="M190" s="2" t="inlineStr">
        <is>
          <t>ted data is not supported by the server, so the server is rejecting the request.
416 Range Not Satisfiable
The ranges specified by the Range header field in the request cannot be fulfilled.
It's possible that the range is outside the size of the ta</t>
        </is>
      </c>
    </row>
    <row r="191">
      <c r="A191" s="2" t="inlineStr">
        <is>
          <t>R5</t>
        </is>
      </c>
      <c r="B191" s="2" t="inlineStr">
        <is>
          <t>W4</t>
        </is>
      </c>
      <c r="C191" s="2" t="inlineStr">
        <is>
          <t>w4-q2</t>
        </is>
      </c>
      <c r="D191" s="2" t="inlineStr">
        <is>
          <t>What does HTTP status 429 mean?</t>
        </is>
      </c>
      <c r="E191" s="2" t="inlineStr">
        <is>
          <t>list</t>
        </is>
      </c>
      <c r="F191" s="2" t="inlineStr">
        <is>
          <t>too many requests in a given amount of time</t>
        </is>
      </c>
      <c r="G191" s="2" t="inlineStr">
        <is>
          <t>R5</t>
        </is>
      </c>
      <c r="H191" s="2" t="n">
        <v>1</v>
      </c>
      <c r="I191" s="2" t="inlineStr">
        <is>
          <t>yes</t>
        </is>
      </c>
      <c r="J191" s="2" t="inlineStr">
        <is>
          <t>yes</t>
        </is>
      </c>
      <c r="K191" s="2" t="inlineStr">
        <is>
          <t>https://developer.mozilla.org/en-US/docs/Web/HTTP/Reference/Status</t>
        </is>
      </c>
      <c r="L191" s="2" t="inlineStr">
        <is>
          <t>HTTP response status codes &gt; Client error responses</t>
        </is>
      </c>
      <c r="M191" s="2" t="inlineStr">
        <is>
          <t xml:space="preserve"> sends an Upgrade header in a 426 response to indicate the required protocol(s).
428 Precondition Required
The origin server requires the request to be conditional.
This response is intended to prevent the 'lost update' problem, where a client GETs</t>
        </is>
      </c>
    </row>
    <row r="192">
      <c r="A192" s="2" t="inlineStr">
        <is>
          <t>R5</t>
        </is>
      </c>
      <c r="B192" s="2" t="inlineStr">
        <is>
          <t>W4</t>
        </is>
      </c>
      <c r="C192" s="2" t="inlineStr">
        <is>
          <t>w4-q3</t>
        </is>
      </c>
      <c r="D192" s="2" t="inlineStr">
        <is>
          <t>How must multiple Cache-Control directives be separated?</t>
        </is>
      </c>
      <c r="E192" s="2" t="inlineStr">
        <is>
          <t>text</t>
        </is>
      </c>
      <c r="F192" s="2" t="inlineStr">
        <is>
          <t>must be comma-separated</t>
        </is>
      </c>
      <c r="G192" s="2" t="inlineStr">
        <is>
          <t>R5</t>
        </is>
      </c>
      <c r="H192" s="2" t="n">
        <v>1</v>
      </c>
      <c r="I192" s="2" t="inlineStr">
        <is>
          <t>yes</t>
        </is>
      </c>
      <c r="J192" s="2" t="inlineStr">
        <is>
          <t>yes</t>
        </is>
      </c>
      <c r="K192" s="2" t="inlineStr">
        <is>
          <t>https://developer.mozilla.org/en-US/docs/Web/HTTP/Reference/Headers/Cache-Control</t>
        </is>
      </c>
      <c r="L192" s="2" t="inlineStr">
        <is>
          <t>Cache-Control header</t>
        </is>
      </c>
      <c r="M192" s="2" t="inlineStr">
        <is>
          <t>Syntax
Cache-Control: &lt;directive&gt;, &lt;directive&gt;, ...
Cache directives follow these rules:
Caching directives are case-insensitive. However, lowercase is recommended because some implementations do not recognize uppercase directives.
Multiple direc</t>
        </is>
      </c>
    </row>
    <row r="193">
      <c r="A193" s="2" t="inlineStr">
        <is>
          <t>R5</t>
        </is>
      </c>
      <c r="B193" s="2" t="inlineStr">
        <is>
          <t>W4</t>
        </is>
      </c>
      <c r="C193" s="2" t="inlineStr">
        <is>
          <t>w4-q4</t>
        </is>
      </c>
      <c r="D193" s="2" t="inlineStr">
        <is>
          <t>What is a closure in JavaScript?</t>
        </is>
      </c>
      <c r="E193" s="2" t="inlineStr">
        <is>
          <t>text</t>
        </is>
      </c>
      <c r="F193" s="2" t="inlineStr">
        <is>
          <t>combination of a function bundled together</t>
        </is>
      </c>
      <c r="G193" s="2" t="inlineStr">
        <is>
          <t>R5</t>
        </is>
      </c>
      <c r="H193" s="2" t="n">
        <v>1</v>
      </c>
      <c r="I193" s="2" t="inlineStr">
        <is>
          <t>yes</t>
        </is>
      </c>
      <c r="J193" s="2" t="inlineStr">
        <is>
          <t>yes</t>
        </is>
      </c>
      <c r="K193" s="2" t="inlineStr">
        <is>
          <t>https://developer.mozilla.org/en-US/docs/Web/JavaScript/Guide/Closures</t>
        </is>
      </c>
      <c r="L193" s="2" t="inlineStr"/>
      <c r="M193" s="2" t="inlineStr">
        <is>
          <t>Closures
A closure is the combination of a function bundled together (enclosed) with references to its surrounding state (the lexical environment). In other words, a closure gives a function access to its outer scope. In JavaScript, closures are cre</t>
        </is>
      </c>
    </row>
    <row r="194">
      <c r="A194" s="2" t="inlineStr">
        <is>
          <t>R5</t>
        </is>
      </c>
      <c r="B194" s="2" t="inlineStr">
        <is>
          <t>W4</t>
        </is>
      </c>
      <c r="C194" s="2" t="inlineStr">
        <is>
          <t>w4-q5</t>
        </is>
      </c>
      <c r="D194" s="2" t="inlineStr">
        <is>
          <t>How many mandatory arguments does the fetch() method take?</t>
        </is>
      </c>
      <c r="E194" s="2" t="inlineStr">
        <is>
          <t>text</t>
        </is>
      </c>
      <c r="F194" s="2" t="inlineStr">
        <is>
          <t>one mandatory argument</t>
        </is>
      </c>
      <c r="G194" s="2" t="inlineStr">
        <is>
          <t>R5</t>
        </is>
      </c>
      <c r="H194" s="2" t="n">
        <v>2</v>
      </c>
      <c r="I194" s="2" t="inlineStr">
        <is>
          <t>no</t>
        </is>
      </c>
      <c r="J194" s="2" t="inlineStr">
        <is>
          <t>yes</t>
        </is>
      </c>
      <c r="K194" s="2" t="inlineStr">
        <is>
          <t>https://developer.mozilla.org/en-US/docs/Web/API/Fetch_API</t>
        </is>
      </c>
      <c r="L194" s="2" t="inlineStr">
        <is>
          <t>Fetch API &gt; Specifications</t>
        </is>
      </c>
      <c r="M194" s="2" t="inlineStr">
        <is>
          <t>Fetch# fetch-method
Fetch# deferred-fetch</t>
        </is>
      </c>
    </row>
    <row r="195">
      <c r="A195" s="2" t="inlineStr">
        <is>
          <t>R5</t>
        </is>
      </c>
      <c r="B195" s="2" t="inlineStr">
        <is>
          <t>W4</t>
        </is>
      </c>
      <c r="C195" s="2" t="inlineStr">
        <is>
          <t>w4-q6</t>
        </is>
      </c>
      <c r="D195" s="2" t="inlineStr">
        <is>
          <t>What does the HTTP QUERY method do?</t>
        </is>
      </c>
      <c r="E195" s="2" t="inlineStr">
        <is>
          <t>text</t>
        </is>
      </c>
      <c r="F195" s="2" t="inlineStr">
        <is>
          <t>the query method initiates a server-side query</t>
        </is>
      </c>
      <c r="G195" s="2" t="inlineStr">
        <is>
          <t>R5</t>
        </is>
      </c>
      <c r="H195" s="2" t="n">
        <v>2</v>
      </c>
      <c r="I195" s="2" t="inlineStr">
        <is>
          <t>no</t>
        </is>
      </c>
      <c r="J195" s="2" t="inlineStr">
        <is>
          <t>yes</t>
        </is>
      </c>
      <c r="K195" s="2" t="inlineStr">
        <is>
          <t>https://developer.mozilla.org/en-US/docs/Web/HTTP/Reference/Methods</t>
        </is>
      </c>
      <c r="L195" s="2" t="inlineStr"/>
      <c r="M195" s="2" t="inlineStr">
        <is>
          <t>HTTP request methods
HTTP defines a set of request methods to indicate the purpose of the request and what is expected if the request is successful.
Although they can also be nouns, these request methods are sometimes referred to as HTTP verbs.
Each</t>
        </is>
      </c>
    </row>
    <row r="196">
      <c r="A196" s="2" t="inlineStr">
        <is>
          <t>R5</t>
        </is>
      </c>
      <c r="B196" s="2" t="inlineStr">
        <is>
          <t>W4</t>
        </is>
      </c>
      <c r="C196" s="2" t="inlineStr">
        <is>
          <t>w4-q7</t>
        </is>
      </c>
      <c r="D196" s="2" t="inlineStr">
        <is>
          <t>In MDN's CORS preflight example, what value is sent in the Access-Control-Max-Age header?</t>
        </is>
      </c>
      <c r="E196" s="2" t="inlineStr">
        <is>
          <t>code</t>
        </is>
      </c>
      <c r="F196" s="2" t="inlineStr">
        <is>
          <t>access-control-max-age: 86400</t>
        </is>
      </c>
      <c r="G196" s="2" t="inlineStr">
        <is>
          <t>R5</t>
        </is>
      </c>
      <c r="H196" s="2" t="n"/>
      <c r="I196" s="2" t="inlineStr">
        <is>
          <t>no</t>
        </is>
      </c>
      <c r="J196" s="2" t="inlineStr">
        <is>
          <t>no</t>
        </is>
      </c>
      <c r="K196" s="2" t="inlineStr">
        <is>
          <t>https://developer.mozilla.org/en-US/docs/Web/HTTP/Guides/CORS</t>
        </is>
      </c>
      <c r="L196" s="2" t="inlineStr">
        <is>
          <t>Cross-Origin Resource Sharing (CORS) &gt; The HTTP response headers</t>
        </is>
      </c>
      <c r="M196" s="2" t="inlineStr">
        <is>
          <t xml:space="preserve">Access-Control-Max-Age
The Access-Control-Max-Age header indicates how long the results of a preflight request can be cached. For an example of a preflight request, see the above examples.
Access-Control-Max-Age: &lt;delta-seconds&gt;
The delta-seconds </t>
        </is>
      </c>
    </row>
    <row r="197">
      <c r="A197" s="2" t="inlineStr">
        <is>
          <t>R5</t>
        </is>
      </c>
      <c r="B197" s="2" t="inlineStr">
        <is>
          <t>W4</t>
        </is>
      </c>
      <c r="C197" s="2" t="inlineStr">
        <is>
          <t>w4-q8</t>
        </is>
      </c>
      <c r="D197" s="2" t="inlineStr">
        <is>
          <t>Which HTTP status code means Payment Accepted?</t>
        </is>
      </c>
      <c r="E197" s="2" t="inlineStr">
        <is>
          <t>unanswerable</t>
        </is>
      </c>
      <c r="F197" s="2" t="inlineStr">
        <is>
          <t>(not in source)</t>
        </is>
      </c>
      <c r="G197" s="2" t="inlineStr">
        <is>
          <t>R5</t>
        </is>
      </c>
      <c r="H197" s="2" t="n"/>
      <c r="I197" s="2" t="inlineStr">
        <is>
          <t>n/a</t>
        </is>
      </c>
      <c r="J197" s="2" t="inlineStr">
        <is>
          <t>n/a</t>
        </is>
      </c>
      <c r="K197" s="2" t="inlineStr">
        <is>
          <t>https://developer.mozilla.org/en-US/docs/Web/HTTP/Reference/Status</t>
        </is>
      </c>
      <c r="L197" s="2" t="inlineStr">
        <is>
          <t>HTTP response status codes &gt; Successful responses</t>
        </is>
      </c>
      <c r="M197" s="2" t="inlineStr">
        <is>
          <t xml:space="preserve">. This is typically the response sent after POST requests, or some PUT requests.
202 Accepted
The request has been received but not yet acted upon.
It is noncommittal, since there is no way in HTTP to later send an asynchronous response indicating </t>
        </is>
      </c>
    </row>
    <row r="198">
      <c r="A198" s="2" t="inlineStr">
        <is>
          <t>R6</t>
        </is>
      </c>
      <c r="B198" s="2" t="inlineStr">
        <is>
          <t>W1</t>
        </is>
      </c>
      <c r="C198" s="2" t="inlineStr">
        <is>
          <t>w1-q1</t>
        </is>
      </c>
      <c r="D198" s="2" t="inlineStr">
        <is>
          <t>Which class does the Python tutorial recommend for implementing a queue?</t>
        </is>
      </c>
      <c r="E198" s="2" t="inlineStr">
        <is>
          <t>text</t>
        </is>
      </c>
      <c r="F198" s="2" t="inlineStr">
        <is>
          <t>collections.deque</t>
        </is>
      </c>
      <c r="G198" s="2" t="inlineStr">
        <is>
          <t>R6</t>
        </is>
      </c>
      <c r="H198" s="2" t="n">
        <v>2</v>
      </c>
      <c r="I198" s="2" t="inlineStr">
        <is>
          <t>no</t>
        </is>
      </c>
      <c r="J198" s="2" t="inlineStr">
        <is>
          <t>yes</t>
        </is>
      </c>
      <c r="K198" s="2" t="inlineStr">
        <is>
          <t>https://docs.python.org/3/tutorial/datastructures.html</t>
        </is>
      </c>
      <c r="L198" s="2" t="inlineStr">
        <is>
          <t>5. Data Structures ¶ &gt; 5.1. More on Lists ¶ &gt; 5.1.2. Using Lists as Queues ¶</t>
        </is>
      </c>
      <c r="M198" s="2" t="inlineStr">
        <is>
          <t>&gt;&gt;&gt; queue                           # Remaining queue in order of arrival
deque(['Michael', 'Terry', 'Graham'])</t>
        </is>
      </c>
    </row>
    <row r="199">
      <c r="A199" s="2" t="inlineStr">
        <is>
          <t>R6</t>
        </is>
      </c>
      <c r="B199" s="2" t="inlineStr">
        <is>
          <t>W1</t>
        </is>
      </c>
      <c r="C199" s="2" t="inlineStr">
        <is>
          <t>w1-q2</t>
        </is>
      </c>
      <c r="D199" s="2" t="inlineStr">
        <is>
          <t>In CPython 3.3, where is the compiled version of a module named spam.py cached?</t>
        </is>
      </c>
      <c r="E199" s="2" t="inlineStr">
        <is>
          <t>code</t>
        </is>
      </c>
      <c r="F199" s="2" t="inlineStr">
        <is>
          <t>spam.cpython-33.pyc</t>
        </is>
      </c>
      <c r="G199" s="2" t="inlineStr">
        <is>
          <t>R6</t>
        </is>
      </c>
      <c r="H199" s="2" t="n">
        <v>1</v>
      </c>
      <c r="I199" s="2" t="inlineStr">
        <is>
          <t>yes</t>
        </is>
      </c>
      <c r="J199" s="2" t="inlineStr">
        <is>
          <t>yes</t>
        </is>
      </c>
      <c r="K199" s="2" t="inlineStr">
        <is>
          <t>https://docs.python.org/3/tutorial/modules.html</t>
        </is>
      </c>
      <c r="L199" s="2" t="inlineStr">
        <is>
          <t>6. Modules ¶ &gt; 6.1. More on Modules ¶ &gt; 6.1.3. “Compiled” Python files ¶</t>
        </is>
      </c>
      <c r="M199" s="2" t="inlineStr">
        <is>
          <t>To speed up loading modules, Python caches the compiled version of each module
in the __pycache__ directory under the name module.version.pyc,
where the version encodes the format of the compiled file; it generally contains
the Python version number.</t>
        </is>
      </c>
    </row>
    <row r="200">
      <c r="A200" s="2" t="inlineStr">
        <is>
          <t>R6</t>
        </is>
      </c>
      <c r="B200" s="2" t="inlineStr">
        <is>
          <t>W1</t>
        </is>
      </c>
      <c r="C200" s="2" t="inlineStr">
        <is>
          <t>w1-q3</t>
        </is>
      </c>
      <c r="D200" s="2" t="inlineStr">
        <is>
          <t>What command does the tutorial use to create a virtual environment called tutorial-env?</t>
        </is>
      </c>
      <c r="E200" s="2" t="inlineStr">
        <is>
          <t>code</t>
        </is>
      </c>
      <c r="F200" s="2" t="inlineStr">
        <is>
          <t>python -m venv tutorial-env</t>
        </is>
      </c>
      <c r="G200" s="2" t="inlineStr">
        <is>
          <t>R6</t>
        </is>
      </c>
      <c r="H200" s="2" t="n">
        <v>2</v>
      </c>
      <c r="I200" s="2" t="inlineStr">
        <is>
          <t>no</t>
        </is>
      </c>
      <c r="J200" s="2" t="inlineStr">
        <is>
          <t>yes</t>
        </is>
      </c>
      <c r="K200" s="2" t="inlineStr">
        <is>
          <t>https://docs.python.org/3/tutorial/venv.html</t>
        </is>
      </c>
      <c r="L200" s="2" t="inlineStr">
        <is>
          <t>12. Virtual Environments and Packages ¶ &gt; 12.2. Creating Virtual Environments ¶</t>
        </is>
      </c>
      <c r="M200" s="2" t="inlineStr">
        <is>
          <t>nition files that some tooling supports.
Once you’ve created a virtual environment, you may activate it.
On Windows, run:
tutorial-env\Scripts\activate
On Unix or MacOS, run:
source tutorial-env/bin/activate
(This script is written for the bash</t>
        </is>
      </c>
    </row>
    <row r="201">
      <c r="A201" s="2" t="inlineStr">
        <is>
          <t>R6</t>
        </is>
      </c>
      <c r="B201" s="2" t="inlineStr">
        <is>
          <t>W1</t>
        </is>
      </c>
      <c r="C201" s="2" t="inlineStr">
        <is>
          <t>w1-q4</t>
        </is>
      </c>
      <c r="D201" s="2" t="inlineStr">
        <is>
          <t>When is the else clause of a for loop executed?</t>
        </is>
      </c>
      <c r="E201" s="2" t="inlineStr">
        <is>
          <t>text</t>
        </is>
      </c>
      <c r="F201" s="2" t="inlineStr">
        <is>
          <t>if no break occurred</t>
        </is>
      </c>
      <c r="G201" s="2" t="inlineStr">
        <is>
          <t>R6</t>
        </is>
      </c>
      <c r="H201" s="2" t="n">
        <v>2</v>
      </c>
      <c r="I201" s="2" t="inlineStr">
        <is>
          <t>no</t>
        </is>
      </c>
      <c r="J201" s="2" t="inlineStr">
        <is>
          <t>yes</t>
        </is>
      </c>
      <c r="K201" s="2" t="inlineStr">
        <is>
          <t>https://docs.python.org/3/tutorial/controlflow.html</t>
        </is>
      </c>
      <c r="L201" s="2" t="inlineStr">
        <is>
          <t>4. More Control Flow Tools ¶ &gt; 4.5. else Clauses on Loops ¶</t>
        </is>
      </c>
      <c r="M201" s="2" t="inlineStr">
        <is>
          <t xml:space="preserve"> to
the for loop, not the if statement.)
One way to think of the else clause is to imagine it paired with the if
inside the loop.  As the loop executes, it will run a sequence like
if/if/if/else. The if is inside the loop, encountered a number of ti</t>
        </is>
      </c>
    </row>
    <row r="202">
      <c r="A202" s="2" t="inlineStr">
        <is>
          <t>R6</t>
        </is>
      </c>
      <c r="B202" s="2" t="inlineStr">
        <is>
          <t>W1</t>
        </is>
      </c>
      <c r="C202" s="2" t="inlineStr">
        <is>
          <t>w1-q5</t>
        </is>
      </c>
      <c r="D202" s="2" t="inlineStr">
        <is>
          <t>What does the pass statement do?</t>
        </is>
      </c>
      <c r="E202" s="2" t="inlineStr">
        <is>
          <t>text</t>
        </is>
      </c>
      <c r="F202" s="2" t="inlineStr">
        <is>
          <t>the pass statement does nothing</t>
        </is>
      </c>
      <c r="G202" s="2" t="inlineStr">
        <is>
          <t>R6</t>
        </is>
      </c>
      <c r="H202" s="2" t="n">
        <v>1</v>
      </c>
      <c r="I202" s="2" t="inlineStr">
        <is>
          <t>yes</t>
        </is>
      </c>
      <c r="J202" s="2" t="inlineStr">
        <is>
          <t>yes</t>
        </is>
      </c>
      <c r="K202" s="2" t="inlineStr">
        <is>
          <t>https://docs.python.org/3/tutorial/controlflow.html</t>
        </is>
      </c>
      <c r="L202" s="2" t="inlineStr">
        <is>
          <t>4. More Control Flow Tools ¶ &gt; 4.6. pass Statements ¶</t>
        </is>
      </c>
      <c r="M202" s="2" t="inlineStr">
        <is>
          <t>4.6. pass Statements ¶
The pass statement does nothing. It can be used when a statement is
required syntactically but the program requires no action. For example:
&gt;&gt;&gt; while True:
...     pass  # Busy-wait for keyboard interrupt (Ctrl+C)
...
This i</t>
        </is>
      </c>
    </row>
    <row r="203">
      <c r="A203" s="2" t="inlineStr">
        <is>
          <t>R6</t>
        </is>
      </c>
      <c r="B203" s="2" t="inlineStr">
        <is>
          <t>W1</t>
        </is>
      </c>
      <c r="C203" s="2" t="inlineStr">
        <is>
          <t>w1-q6</t>
        </is>
      </c>
      <c r="D203" s="2" t="inlineStr">
        <is>
          <t>What does the list index() method return?</t>
        </is>
      </c>
      <c r="E203" s="2" t="inlineStr">
        <is>
          <t>list</t>
        </is>
      </c>
      <c r="F203" s="2" t="inlineStr">
        <is>
          <t>zero-based index of the first occurrence</t>
        </is>
      </c>
      <c r="G203" s="2" t="inlineStr">
        <is>
          <t>R6</t>
        </is>
      </c>
      <c r="H203" s="2" t="n">
        <v>3</v>
      </c>
      <c r="I203" s="2" t="inlineStr">
        <is>
          <t>no</t>
        </is>
      </c>
      <c r="J203" s="2" t="inlineStr">
        <is>
          <t>yes</t>
        </is>
      </c>
      <c r="K203" s="2" t="inlineStr">
        <is>
          <t>https://developer.mozilla.org/en-US/docs/Web/JavaScript/Reference/Global_Objects/Array</t>
        </is>
      </c>
      <c r="L203" s="2" t="inlineStr">
        <is>
          <t>Array &gt; Description &gt; Array indices</t>
        </is>
      </c>
      <c r="M203" s="2" t="inlineStr">
        <is>
          <t>Array indices
Array objects cannot use arbitrary strings as element indexes (as in an associative array) but must use nonnegative integers (or their respective string form). Setting or accessing via non-integers will not set or retrieve an element f</t>
        </is>
      </c>
    </row>
    <row r="204">
      <c r="A204" s="2" t="inlineStr">
        <is>
          <t>R6</t>
        </is>
      </c>
      <c r="B204" s="2" t="inlineStr">
        <is>
          <t>W1</t>
        </is>
      </c>
      <c r="C204" s="2" t="inlineStr">
        <is>
          <t>w1-q7</t>
        </is>
      </c>
      <c r="D204" s="2" t="inlineStr">
        <is>
          <t>What is the short name for formatted string literals?</t>
        </is>
      </c>
      <c r="E204" s="2" t="inlineStr">
        <is>
          <t>text</t>
        </is>
      </c>
      <c r="F204" s="2" t="inlineStr">
        <is>
          <t>also called f-strings</t>
        </is>
      </c>
      <c r="G204" s="2" t="inlineStr">
        <is>
          <t>R6</t>
        </is>
      </c>
      <c r="H204" s="2" t="n">
        <v>2</v>
      </c>
      <c r="I204" s="2" t="inlineStr">
        <is>
          <t>no</t>
        </is>
      </c>
      <c r="J204" s="2" t="inlineStr">
        <is>
          <t>yes</t>
        </is>
      </c>
      <c r="K204" s="2" t="inlineStr">
        <is>
          <t>https://docs.python.org/3/tutorial/inputoutput.html</t>
        </is>
      </c>
      <c r="L204" s="2" t="inlineStr">
        <is>
          <t>7. Input and Output ¶ &gt; 7.1. Fancier Output Formatting ¶ &gt; 7.1.1. Formatted String Literals ¶</t>
        </is>
      </c>
      <c r="M204" s="2" t="inlineStr">
        <is>
          <t>See self-documenting expressions for more information
on the = specifier. For a reference on these format specifications, see
the reference guide for the Format specification mini-language.</t>
        </is>
      </c>
    </row>
    <row r="205">
      <c r="A205" s="2" t="inlineStr">
        <is>
          <t>R6</t>
        </is>
      </c>
      <c r="B205" s="2" t="inlineStr">
        <is>
          <t>W1</t>
        </is>
      </c>
      <c r="C205" s="2" t="inlineStr">
        <is>
          <t>w1-q8</t>
        </is>
      </c>
      <c r="D205" s="2" t="inlineStr">
        <is>
          <t>On what date will Python 4.0 be released according to the tutorial?</t>
        </is>
      </c>
      <c r="E205" s="2" t="inlineStr">
        <is>
          <t>unanswerable</t>
        </is>
      </c>
      <c r="F205" s="2" t="inlineStr">
        <is>
          <t>(not in source)</t>
        </is>
      </c>
      <c r="G205" s="2" t="inlineStr">
        <is>
          <t>R6</t>
        </is>
      </c>
      <c r="H205" s="2" t="n"/>
      <c r="I205" s="2" t="inlineStr">
        <is>
          <t>n/a</t>
        </is>
      </c>
      <c r="J205" s="2" t="inlineStr">
        <is>
          <t>n/a</t>
        </is>
      </c>
      <c r="K205" s="2" t="inlineStr">
        <is>
          <t>https://en.wikipedia.org/wiki/Python_(programming_language)</t>
        </is>
      </c>
      <c r="L205" s="2" t="inlineStr">
        <is>
          <t>Python (programming language) &gt; References</t>
        </is>
      </c>
      <c r="M205" s="2" t="inlineStr">
        <is>
          <t>↑ "Python Developer's Guide – Python Developer's Guide". devguide.python.org. Archived from the original on 9 November 2020. Retrieved 17 December 2019.
↑ Hughes, Owen (24 May 2021). "Programming languages: Why Python 4.0 might never arrive, accordi</t>
        </is>
      </c>
    </row>
    <row r="206">
      <c r="A206" s="2" t="inlineStr">
        <is>
          <t>R6</t>
        </is>
      </c>
      <c r="B206" s="2" t="inlineStr">
        <is>
          <t>W2</t>
        </is>
      </c>
      <c r="C206" s="2" t="inlineStr">
        <is>
          <t>w2-q1</t>
        </is>
      </c>
      <c r="D206" s="2" t="inlineStr">
        <is>
          <t>What is the elevation of Mount Everest in metres?</t>
        </is>
      </c>
      <c r="E206" s="2" t="inlineStr">
        <is>
          <t>table</t>
        </is>
      </c>
      <c r="F206" s="2" t="inlineStr">
        <is>
          <t>8,848.86 m</t>
        </is>
      </c>
      <c r="G206" s="2" t="inlineStr">
        <is>
          <t>R6</t>
        </is>
      </c>
      <c r="H206" s="2" t="n">
        <v>3</v>
      </c>
      <c r="I206" s="2" t="inlineStr">
        <is>
          <t>no</t>
        </is>
      </c>
      <c r="J206" s="2" t="inlineStr">
        <is>
          <t>yes</t>
        </is>
      </c>
      <c r="K206" s="2" t="inlineStr">
        <is>
          <t>https://en.wikipedia.org/wiki/Mount_Everest</t>
        </is>
      </c>
      <c r="L206" s="2" t="inlineStr">
        <is>
          <t>Mount Everest &gt; Surveys &gt; Comparisons</t>
        </is>
      </c>
      <c r="M206" s="2" t="inlineStr">
        <is>
          <t xml:space="preserve"> ft); a commonly quoted figure is 5,600
 m (18,400 ft).[47][48] By comparison, reasonable base elevations for Everest range from 4,200 m (13,800 ft) on the south side to 5,200 m (17,100 ft) on the Tibetan Plateau, yielding a height above base in the</t>
        </is>
      </c>
    </row>
    <row r="207">
      <c r="A207" s="2" t="inlineStr">
        <is>
          <t>R6</t>
        </is>
      </c>
      <c r="B207" s="2" t="inlineStr">
        <is>
          <t>W2</t>
        </is>
      </c>
      <c r="C207" s="2" t="inlineStr">
        <is>
          <t>w2-q2</t>
        </is>
      </c>
      <c r="D207" s="2" t="inlineStr">
        <is>
          <t>How many individual reefs make up the Great Barrier Reef?</t>
        </is>
      </c>
      <c r="E207" s="2" t="inlineStr">
        <is>
          <t>text</t>
        </is>
      </c>
      <c r="F207" s="2" t="inlineStr">
        <is>
          <t>over 2,900 individual reefs</t>
        </is>
      </c>
      <c r="G207" s="2" t="inlineStr">
        <is>
          <t>R6</t>
        </is>
      </c>
      <c r="H207" s="2" t="n">
        <v>2</v>
      </c>
      <c r="I207" s="2" t="inlineStr">
        <is>
          <t>no</t>
        </is>
      </c>
      <c r="J207" s="2" t="inlineStr">
        <is>
          <t>yes</t>
        </is>
      </c>
      <c r="K207" s="2" t="inlineStr">
        <is>
          <t>https://en.wikipedia.org/wiki/Great_Barrier_Reef</t>
        </is>
      </c>
      <c r="L207" s="2" t="inlineStr">
        <is>
          <t>Great Barrier Reef &gt; References</t>
        </is>
      </c>
      <c r="M207" s="2" t="inlineStr">
        <is>
          <t>↑ The Great Barrier Reef World Heritage Area, which is 348,000 km squared, has 2900 reefs. However, this does not include the reefs found in the Torres Strait, which has an estimated area of 37,000 km squared and with a possible 750 reefs and shoals.</t>
        </is>
      </c>
    </row>
    <row r="208">
      <c r="A208" s="2" t="inlineStr">
        <is>
          <t>R6</t>
        </is>
      </c>
      <c r="B208" s="2" t="inlineStr">
        <is>
          <t>W2</t>
        </is>
      </c>
      <c r="C208" s="2" t="inlineStr">
        <is>
          <t>w2-q3</t>
        </is>
      </c>
      <c r="D208" s="2" t="inlineStr">
        <is>
          <t>What is the average discharge of the Amazon River?</t>
        </is>
      </c>
      <c r="E208" s="2" t="inlineStr">
        <is>
          <t>text</t>
        </is>
      </c>
      <c r="F208" s="2" t="inlineStr">
        <is>
          <t>215,000 to 230,000 cubic meters per second</t>
        </is>
      </c>
      <c r="G208" s="2" t="inlineStr">
        <is>
          <t>R6</t>
        </is>
      </c>
      <c r="H208" s="2" t="n"/>
      <c r="I208" s="2" t="inlineStr">
        <is>
          <t>no</t>
        </is>
      </c>
      <c r="J208" s="2" t="inlineStr">
        <is>
          <t>no</t>
        </is>
      </c>
      <c r="K208" s="2" t="inlineStr">
        <is>
          <t>https://en.wikipedia.org/wiki/Amazon_River</t>
        </is>
      </c>
      <c r="L208" s="2" t="inlineStr">
        <is>
          <t>Amazon River &gt; Discharge</t>
        </is>
      </c>
      <c r="M208" s="2" t="inlineStr">
        <is>
          <t>Average discharge at the estuary; Period from 2003 to 2015: 7,200 km3/a (230,000 m3/s)[80][81]
Year
(km3)
(m3/s)
Year
(km3)
(m3/s)
2003
6,470
205,000
2010
6,464
205,000
2004
6,747
214,000
2011
7,378
234,000
2005
6,522
207,000
20</t>
        </is>
      </c>
    </row>
    <row r="209">
      <c r="A209" s="2" t="inlineStr">
        <is>
          <t>R6</t>
        </is>
      </c>
      <c r="B209" s="2" t="inlineStr">
        <is>
          <t>W2</t>
        </is>
      </c>
      <c r="C209" s="2" t="inlineStr">
        <is>
          <t>w2-q4</t>
        </is>
      </c>
      <c r="D209" s="2" t="inlineStr">
        <is>
          <t>When was the euro introduced to world financial markets as an accounting currency?</t>
        </is>
      </c>
      <c r="E209" s="2" t="inlineStr">
        <is>
          <t>text</t>
        </is>
      </c>
      <c r="F209" s="2" t="inlineStr">
        <is>
          <t>1 january 1999</t>
        </is>
      </c>
      <c r="G209" s="2" t="inlineStr">
        <is>
          <t>R6</t>
        </is>
      </c>
      <c r="H209" s="2" t="n">
        <v>1</v>
      </c>
      <c r="I209" s="2" t="inlineStr">
        <is>
          <t>yes</t>
        </is>
      </c>
      <c r="J209" s="2" t="inlineStr">
        <is>
          <t>yes</t>
        </is>
      </c>
      <c r="K209" s="2" t="inlineStr">
        <is>
          <t>https://en.wikipedia.org/wiki/Euro</t>
        </is>
      </c>
      <c r="L209" s="2" t="inlineStr">
        <is>
          <t>Euro</t>
        </is>
      </c>
      <c r="M209" s="2" t="inlineStr">
        <is>
          <t>ins in circulation in the world.[15][16]
The name euro was officially adopted on 16 December 1995 in Madrid.[17] The euro was introduced to world financial markets as an accounting currency on 1 January 1999, replacing the former European Currency U</t>
        </is>
      </c>
    </row>
    <row r="210">
      <c r="A210" s="2" t="inlineStr">
        <is>
          <t>R6</t>
        </is>
      </c>
      <c r="B210" s="2" t="inlineStr">
        <is>
          <t>W2</t>
        </is>
      </c>
      <c r="C210" s="2" t="inlineStr">
        <is>
          <t>w2-q5</t>
        </is>
      </c>
      <c r="D210" s="2" t="inlineStr">
        <is>
          <t>Who published the first generally accepted periodic table, and in what year?</t>
        </is>
      </c>
      <c r="E210" s="2" t="inlineStr">
        <is>
          <t>text</t>
        </is>
      </c>
      <c r="F210" s="2" t="inlineStr">
        <is>
          <t>dmitri mendeleev in 1869</t>
        </is>
      </c>
      <c r="G210" s="2" t="inlineStr">
        <is>
          <t>R6</t>
        </is>
      </c>
      <c r="H210" s="2" t="n">
        <v>1</v>
      </c>
      <c r="I210" s="2" t="inlineStr">
        <is>
          <t>yes</t>
        </is>
      </c>
      <c r="J210" s="2" t="inlineStr">
        <is>
          <t>yes</t>
        </is>
      </c>
      <c r="K210" s="2" t="inlineStr">
        <is>
          <t>https://en.wikipedia.org/wiki/Periodic_table</t>
        </is>
      </c>
      <c r="L210" s="2" t="inlineStr">
        <is>
          <t>Periodic table</t>
        </is>
      </c>
      <c r="M210" s="2" t="inlineStr">
        <is>
          <t>The first periodic table to become generally accepted was that of the Russian chemist Dmitri Mendeleev in 1869; he formulated the periodic law as a dependence of chemical properties on atomic mass. As not all elements were then known, there were gaps</t>
        </is>
      </c>
    </row>
    <row r="211">
      <c r="A211" s="2" t="inlineStr">
        <is>
          <t>R6</t>
        </is>
      </c>
      <c r="B211" s="2" t="inlineStr">
        <is>
          <t>W2</t>
        </is>
      </c>
      <c r="C211" s="2" t="inlineStr">
        <is>
          <t>w2-q6</t>
        </is>
      </c>
      <c r="D211" s="2" t="inlineStr">
        <is>
          <t>What is the Moon's average distance from Earth?</t>
        </is>
      </c>
      <c r="E211" s="2" t="inlineStr">
        <is>
          <t>text</t>
        </is>
      </c>
      <c r="F211" s="2" t="inlineStr">
        <is>
          <t>378,000 kilometers</t>
        </is>
      </c>
      <c r="G211" s="2" t="inlineStr">
        <is>
          <t>R6</t>
        </is>
      </c>
      <c r="H211" s="2" t="n">
        <v>4</v>
      </c>
      <c r="I211" s="2" t="inlineStr">
        <is>
          <t>no</t>
        </is>
      </c>
      <c r="J211" s="2" t="inlineStr">
        <is>
          <t>yes</t>
        </is>
      </c>
      <c r="K211" s="2" t="inlineStr">
        <is>
          <t>https://en.wikipedia.org/wiki/Moon</t>
        </is>
      </c>
      <c r="L211" s="2" t="inlineStr">
        <is>
          <t>Moon &gt; Explanatory notes</t>
        </is>
      </c>
      <c r="M211" s="2" t="inlineStr">
        <is>
          <t xml:space="preserve">↑ The mean distance of the Moon from the Earth is 
        384401
    {\displaystyle 384401}
 km. The equatorial radius of Earth is 
        6.378136
        ⋅
          10
            </t>
        </is>
      </c>
    </row>
    <row r="212">
      <c r="A212" s="2" t="inlineStr">
        <is>
          <t>R6</t>
        </is>
      </c>
      <c r="B212" s="2" t="inlineStr">
        <is>
          <t>W2</t>
        </is>
      </c>
      <c r="C212" s="2" t="inlineStr">
        <is>
          <t>w2-q7</t>
        </is>
      </c>
      <c r="D212" s="2" t="inlineStr">
        <is>
          <t>When was Python 3.0 released?</t>
        </is>
      </c>
      <c r="E212" s="2" t="inlineStr">
        <is>
          <t>text</t>
        </is>
      </c>
      <c r="F212" s="2" t="inlineStr">
        <is>
          <t>python 3.0, released in 2008</t>
        </is>
      </c>
      <c r="G212" s="2" t="inlineStr">
        <is>
          <t>R6</t>
        </is>
      </c>
      <c r="H212" s="2" t="n"/>
      <c r="I212" s="2" t="inlineStr">
        <is>
          <t>no</t>
        </is>
      </c>
      <c r="J212" s="2" t="inlineStr">
        <is>
          <t>no</t>
        </is>
      </c>
      <c r="K212" s="2" t="inlineStr">
        <is>
          <t>https://en.wikipedia.org/wiki/Python_(programming_language)</t>
        </is>
      </c>
      <c r="L212" s="2" t="inlineStr">
        <is>
          <t>Python (programming language) &gt; History</t>
        </is>
      </c>
      <c r="M212" s="2" t="inlineStr">
        <is>
          <t>Python 3.0 was released on 3 December 2008, and was a major revision and not completely backward-compatible with earlier versions, with some new semantics and changed syntax. Python 2.7.18, released in 2020, was the last release of Python 2.[57] Seve</t>
        </is>
      </c>
    </row>
    <row r="213">
      <c r="A213" s="2" t="inlineStr">
        <is>
          <t>R6</t>
        </is>
      </c>
      <c r="B213" s="2" t="inlineStr">
        <is>
          <t>W2</t>
        </is>
      </c>
      <c r="C213" s="2" t="inlineStr">
        <is>
          <t>w2-q8</t>
        </is>
      </c>
      <c r="D213" s="2" t="inlineStr">
        <is>
          <t>Who won the men's downhill at the 2030 Winter Olympics?</t>
        </is>
      </c>
      <c r="E213" s="2" t="inlineStr">
        <is>
          <t>unanswerable</t>
        </is>
      </c>
      <c r="F213" s="2" t="inlineStr">
        <is>
          <t>(not in source)</t>
        </is>
      </c>
      <c r="G213" s="2" t="inlineStr">
        <is>
          <t>R6</t>
        </is>
      </c>
      <c r="H213" s="2" t="n"/>
      <c r="I213" s="2" t="inlineStr">
        <is>
          <t>n/a</t>
        </is>
      </c>
      <c r="J213" s="2" t="inlineStr">
        <is>
          <t>n/a</t>
        </is>
      </c>
      <c r="K213" s="2" t="inlineStr">
        <is>
          <t>https://en.wikipedia.org/wiki/Olympic_Games</t>
        </is>
      </c>
      <c r="L213" s="2" t="inlineStr">
        <is>
          <t>Olympic Games &gt; References</t>
        </is>
      </c>
      <c r="M213" s="2" t="inlineStr">
        <is>
          <t>↑ Mather, Victor (21 February 2018). "Desperately Seeking Skiers for a Budding Olympic Sport". The New York Times. Archived from the original on 11 March 2018. Retrieved 24 June 2018.
↑ "Men to compete in artistic swimming at Olympics for first time</t>
        </is>
      </c>
    </row>
    <row r="214">
      <c r="A214" s="2" t="inlineStr">
        <is>
          <t>R6</t>
        </is>
      </c>
      <c r="B214" s="2" t="inlineStr">
        <is>
          <t>W3</t>
        </is>
      </c>
      <c r="C214" s="2" t="inlineStr">
        <is>
          <t>w3-q1</t>
        </is>
      </c>
      <c r="D214" s="2" t="inlineStr">
        <is>
          <t>What was the minimum hourly wage for workers under 18 from April 2024 to March 2025?</t>
        </is>
      </c>
      <c r="E214" s="2" t="inlineStr">
        <is>
          <t>table</t>
        </is>
      </c>
      <c r="F214" s="2" t="inlineStr">
        <is>
          <t>£6.40</t>
        </is>
      </c>
      <c r="G214" s="2" t="inlineStr">
        <is>
          <t>R6</t>
        </is>
      </c>
      <c r="H214" s="2" t="n">
        <v>1</v>
      </c>
      <c r="I214" s="2" t="inlineStr">
        <is>
          <t>yes</t>
        </is>
      </c>
      <c r="J214" s="2" t="inlineStr">
        <is>
          <t>yes</t>
        </is>
      </c>
      <c r="K214" s="2" t="inlineStr">
        <is>
          <t>https://www.gov.uk/national-minimum-wage-rates</t>
        </is>
      </c>
      <c r="L214" s="2" t="inlineStr">
        <is>
          <t>National Minimum Wage and National Living Wage rates &gt; Previous rates &gt; Rates between 1 April 2024 and 31 March 2026</t>
        </is>
      </c>
      <c r="M214" s="2" t="inlineStr">
        <is>
          <t>Rates between 1 April 2024 and 31 March 2026
Since 1 April 2024 the National Living Wage has been for those aged 21 and over.
21 and over
18 to 20
Under 18
Apprentice
April 2025 to March 2026
£12.21
£10
£7.55
£7.55
April 2024 to March 2025</t>
        </is>
      </c>
    </row>
    <row r="215">
      <c r="A215" s="2" t="inlineStr">
        <is>
          <t>R6</t>
        </is>
      </c>
      <c r="B215" s="2" t="inlineStr">
        <is>
          <t>W3</t>
        </is>
      </c>
      <c r="C215" s="2" t="inlineStr">
        <is>
          <t>w3-q2</t>
        </is>
      </c>
      <c r="D215" s="2" t="inlineStr">
        <is>
          <t>Which taxable income band does the 40% higher rate of Income Tax cover?</t>
        </is>
      </c>
      <c r="E215" s="2" t="inlineStr">
        <is>
          <t>table</t>
        </is>
      </c>
      <c r="F215" s="2" t="inlineStr">
        <is>
          <t>£50,271 to £125,140</t>
        </is>
      </c>
      <c r="G215" s="2" t="inlineStr">
        <is>
          <t>R6</t>
        </is>
      </c>
      <c r="H215" s="2" t="n">
        <v>1</v>
      </c>
      <c r="I215" s="2" t="inlineStr">
        <is>
          <t>yes</t>
        </is>
      </c>
      <c r="J215" s="2" t="inlineStr">
        <is>
          <t>yes</t>
        </is>
      </c>
      <c r="K215" s="2" t="inlineStr">
        <is>
          <t>https://www.gov.uk/income-tax-rates</t>
        </is>
      </c>
      <c r="L215" s="2" t="inlineStr">
        <is>
          <t>Current rates and allowances &gt; Income Tax rates and bands</t>
        </is>
      </c>
      <c r="M215" s="2" t="inlineStr">
        <is>
          <t>0%
Basic rate
£12,571 to £50,270
20%
Higher rate
£50,271 to £125,140
40%
Additional rate
over £125,140
45%
You can also see the rates and bands without the Personal Allowance. You do not get a Personal Allowance on taxable income over £125,</t>
        </is>
      </c>
    </row>
    <row r="216">
      <c r="A216" s="2" t="inlineStr">
        <is>
          <t>R6</t>
        </is>
      </c>
      <c r="B216" s="2" t="inlineStr">
        <is>
          <t>W3</t>
        </is>
      </c>
      <c r="C216" s="2" t="inlineStr">
        <is>
          <t>w3-q3</t>
        </is>
      </c>
      <c r="D216" s="2" t="inlineStr">
        <is>
          <t>How much Statutory Sick Pay can you get per week?</t>
        </is>
      </c>
      <c r="E216" s="2" t="inlineStr">
        <is>
          <t>text</t>
        </is>
      </c>
      <c r="F216" s="2" t="inlineStr">
        <is>
          <t>£123.25</t>
        </is>
      </c>
      <c r="G216" s="2" t="inlineStr">
        <is>
          <t>R6</t>
        </is>
      </c>
      <c r="H216" s="2" t="n">
        <v>1</v>
      </c>
      <c r="I216" s="2" t="inlineStr">
        <is>
          <t>yes</t>
        </is>
      </c>
      <c r="J216" s="2" t="inlineStr">
        <is>
          <t>yes</t>
        </is>
      </c>
      <c r="K216" s="2" t="inlineStr">
        <is>
          <t>https://www.gov.uk/statutory-sick-pay</t>
        </is>
      </c>
      <c r="L216" s="2" t="inlineStr">
        <is>
          <t>Overview</t>
        </is>
      </c>
      <c r="M216" s="2" t="inlineStr">
        <is>
          <t xml:space="preserve">Overview
You can get up to £123.25 per week Statutory Sick Pay (SSP) if you’re too ill to work. It’s paid by your employer for up to 28 weeks.
This guide is also available in Welsh (Cymraeg).
You cannot get less than the statutory amount. You can </t>
        </is>
      </c>
    </row>
    <row r="217">
      <c r="A217" s="2" t="inlineStr">
        <is>
          <t>R6</t>
        </is>
      </c>
      <c r="B217" s="2" t="inlineStr">
        <is>
          <t>W3</t>
        </is>
      </c>
      <c r="C217" s="2" t="inlineStr">
        <is>
          <t>w3-q4</t>
        </is>
      </c>
      <c r="D217" s="2" t="inlineStr">
        <is>
          <t>How many days of paid annual leave must a worker on a 5-day week receive?</t>
        </is>
      </c>
      <c r="E217" s="2" t="inlineStr">
        <is>
          <t>text</t>
        </is>
      </c>
      <c r="F217" s="2" t="inlineStr">
        <is>
          <t>at least 28 days</t>
        </is>
      </c>
      <c r="G217" s="2" t="inlineStr">
        <is>
          <t>R6</t>
        </is>
      </c>
      <c r="H217" s="2" t="n">
        <v>1</v>
      </c>
      <c r="I217" s="2" t="inlineStr">
        <is>
          <t>yes</t>
        </is>
      </c>
      <c r="J217" s="2" t="inlineStr">
        <is>
          <t>yes</t>
        </is>
      </c>
      <c r="K217" s="2" t="inlineStr">
        <is>
          <t>https://www.gov.uk/holiday-entitlement-rights</t>
        </is>
      </c>
      <c r="L217" s="2" t="inlineStr">
        <is>
          <t>Entitlement &gt; Statutory annual leave entitlement</t>
        </is>
      </c>
      <c r="M217" s="2" t="inlineStr">
        <is>
          <t>Statutory annual leave entitlement
Most workers who work a 5-day week must receive at least 28 days’ paid annual leave a year. This is the equivalent of 5.6 weeks of holiday.</t>
        </is>
      </c>
    </row>
    <row r="218">
      <c r="A218" s="2" t="inlineStr">
        <is>
          <t>R6</t>
        </is>
      </c>
      <c r="B218" s="2" t="inlineStr">
        <is>
          <t>W3</t>
        </is>
      </c>
      <c r="C218" s="2" t="inlineStr">
        <is>
          <t>w3-q5</t>
        </is>
      </c>
      <c r="D218" s="2" t="inlineStr">
        <is>
          <t>How long must you have worked for your employer to qualify for statutory redundancy pay?</t>
        </is>
      </c>
      <c r="E218" s="2" t="inlineStr">
        <is>
          <t>text</t>
        </is>
      </c>
      <c r="F218" s="2" t="inlineStr">
        <is>
          <t>at least 2 years</t>
        </is>
      </c>
      <c r="G218" s="2" t="inlineStr">
        <is>
          <t>R6</t>
        </is>
      </c>
      <c r="H218" s="2" t="n">
        <v>1</v>
      </c>
      <c r="I218" s="2" t="inlineStr">
        <is>
          <t>yes</t>
        </is>
      </c>
      <c r="J218" s="2" t="inlineStr">
        <is>
          <t>yes</t>
        </is>
      </c>
      <c r="K218" s="2" t="inlineStr">
        <is>
          <t>https://www.gov.uk/calculate-your-redundancy-pay</t>
        </is>
      </c>
      <c r="L218" s="2" t="inlineStr">
        <is>
          <t>Calculate your statutory redundancy pay</t>
        </is>
      </c>
      <c r="M218" s="2" t="inlineStr">
        <is>
          <t>s to apply for statutory redundancy pay.
You only qualify for statutory redundancy pay if you’ve worked for your employer for at least 2 years.
Start now</t>
        </is>
      </c>
    </row>
    <row r="219">
      <c r="A219" s="2" t="inlineStr">
        <is>
          <t>R6</t>
        </is>
      </c>
      <c r="B219" s="2" t="inlineStr">
        <is>
          <t>W3</t>
        </is>
      </c>
      <c r="C219" s="2" t="inlineStr">
        <is>
          <t>w3-q6</t>
        </is>
      </c>
      <c r="D219" s="2" t="inlineStr">
        <is>
          <t>What is the first vehicle tax payment for a petrol car emitting 111 to 130g/km of CO2?</t>
        </is>
      </c>
      <c r="E219" s="2" t="inlineStr">
        <is>
          <t>table</t>
        </is>
      </c>
      <c r="F219" s="2" t="inlineStr">
        <is>
          <t>111 to 130g/km + £455</t>
        </is>
      </c>
      <c r="G219" s="2" t="inlineStr">
        <is>
          <t>R6</t>
        </is>
      </c>
      <c r="H219" s="2" t="n">
        <v>4</v>
      </c>
      <c r="I219" s="2" t="inlineStr">
        <is>
          <t>no</t>
        </is>
      </c>
      <c r="J219" s="2" t="inlineStr">
        <is>
          <t>yes</t>
        </is>
      </c>
      <c r="K219" s="2" t="inlineStr">
        <is>
          <t>https://www.gov.uk/vehicle-tax-rate-tables</t>
        </is>
      </c>
      <c r="L219" s="2" t="inlineStr">
        <is>
          <t>Cars registered on or after 1 April 2017 &gt; First tax payment when you register the vehicle</t>
        </is>
      </c>
      <c r="M219" s="2" t="inlineStr">
        <is>
          <t>rer if your car meets the RDE2 standard.
CO2 emissions
Diesel cars (TC49) that meet the RDE2 standard, petrol cars (TC48), Alternative fuel and zero emission cars
All other diesel cars (TC49)
0g/km
£10
£10
1 to 50g/km
£115
£135
51 to 75g/km</t>
        </is>
      </c>
    </row>
    <row r="220">
      <c r="A220" s="2" t="inlineStr">
        <is>
          <t>R6</t>
        </is>
      </c>
      <c r="B220" s="2" t="inlineStr">
        <is>
          <t>W3</t>
        </is>
      </c>
      <c r="C220" s="2" t="inlineStr">
        <is>
          <t>w3-q7</t>
        </is>
      </c>
      <c r="D220" s="2" t="inlineStr">
        <is>
          <t>From when can an employee make a request for flexible working?</t>
        </is>
      </c>
      <c r="E220" s="2" t="inlineStr">
        <is>
          <t>text</t>
        </is>
      </c>
      <c r="F220" s="2" t="inlineStr">
        <is>
          <t>from their first day in a job</t>
        </is>
      </c>
      <c r="G220" s="2" t="inlineStr">
        <is>
          <t>R6</t>
        </is>
      </c>
      <c r="H220" s="2" t="n">
        <v>1</v>
      </c>
      <c r="I220" s="2" t="inlineStr">
        <is>
          <t>yes</t>
        </is>
      </c>
      <c r="J220" s="2" t="inlineStr">
        <is>
          <t>yes</t>
        </is>
      </c>
      <c r="K220" s="2" t="inlineStr">
        <is>
          <t>https://www.gov.uk/flexible-working</t>
        </is>
      </c>
      <c r="L220" s="2" t="inlineStr">
        <is>
          <t>Overview</t>
        </is>
      </c>
      <c r="M220" s="2" t="inlineStr">
        <is>
          <t>king. Employees can request a change to:
the number of hours they work
when they start or finish work
the days they work
where they work
This is known as ‘making a statutory application’.
Employees can make a request for flexible working from t</t>
        </is>
      </c>
    </row>
    <row r="221">
      <c r="A221" s="2" t="inlineStr">
        <is>
          <t>R6</t>
        </is>
      </c>
      <c r="B221" s="2" t="inlineStr">
        <is>
          <t>W3</t>
        </is>
      </c>
      <c r="C221" s="2" t="inlineStr">
        <is>
          <t>w3-q8</t>
        </is>
      </c>
      <c r="D221" s="2" t="inlineStr">
        <is>
          <t>What is the weekly rate of Statutory Paternity Pay?</t>
        </is>
      </c>
      <c r="E221" s="2" t="inlineStr">
        <is>
          <t>unanswerable</t>
        </is>
      </c>
      <c r="F221" s="2" t="inlineStr">
        <is>
          <t>(not in source)</t>
        </is>
      </c>
      <c r="G221" s="2" t="inlineStr">
        <is>
          <t>R6</t>
        </is>
      </c>
      <c r="H221" s="2" t="n"/>
      <c r="I221" s="2" t="inlineStr">
        <is>
          <t>n/a</t>
        </is>
      </c>
      <c r="J221" s="2" t="inlineStr">
        <is>
          <t>n/a</t>
        </is>
      </c>
      <c r="K221" s="2" t="inlineStr">
        <is>
          <t>https://www.gov.uk/statutory-sick-pay</t>
        </is>
      </c>
      <c r="L221" s="2" t="inlineStr">
        <is>
          <t>Overview</t>
        </is>
      </c>
      <c r="M221" s="2" t="inlineStr">
        <is>
          <t xml:space="preserve">Overview
You can get up to £123.25 per week Statutory Sick Pay (SSP) if you’re too ill to work. It’s paid by your employer for up to 28 weeks.
This guide is also available in Welsh (Cymraeg).
You cannot get less than the statutory amount. You can </t>
        </is>
      </c>
    </row>
    <row r="222">
      <c r="A222" s="2" t="inlineStr">
        <is>
          <t>R6</t>
        </is>
      </c>
      <c r="B222" s="2" t="inlineStr">
        <is>
          <t>W4</t>
        </is>
      </c>
      <c r="C222" s="2" t="inlineStr">
        <is>
          <t>w4-q1</t>
        </is>
      </c>
      <c r="D222" s="2" t="inlineStr">
        <is>
          <t>What does HTTP status 418 I'm a teapot mean?</t>
        </is>
      </c>
      <c r="E222" s="2" t="inlineStr">
        <is>
          <t>list</t>
        </is>
      </c>
      <c r="F222" s="2" t="inlineStr">
        <is>
          <t>brew coffee with a teapot</t>
        </is>
      </c>
      <c r="G222" s="2" t="inlineStr">
        <is>
          <t>R6</t>
        </is>
      </c>
      <c r="H222" s="2" t="n">
        <v>1</v>
      </c>
      <c r="I222" s="2" t="inlineStr">
        <is>
          <t>yes</t>
        </is>
      </c>
      <c r="J222" s="2" t="inlineStr">
        <is>
          <t>yes</t>
        </is>
      </c>
      <c r="K222" s="2" t="inlineStr">
        <is>
          <t>https://developer.mozilla.org/en-US/docs/Web/HTTP/Reference/Status</t>
        </is>
      </c>
      <c r="L222" s="2" t="inlineStr">
        <is>
          <t>HTTP response status codes &gt; Client error responses</t>
        </is>
      </c>
      <c r="M222" s="2" t="inlineStr">
        <is>
          <t xml:space="preserve"> the size of the target resource's data.
417 Expectation Failed
This response code means the expectation indicated by the Expect request header field cannot be met by the server.
418 I'm a teapot
The server refuses the attempt to brew coffee with</t>
        </is>
      </c>
    </row>
    <row r="223">
      <c r="A223" s="2" t="inlineStr">
        <is>
          <t>R6</t>
        </is>
      </c>
      <c r="B223" s="2" t="inlineStr">
        <is>
          <t>W4</t>
        </is>
      </c>
      <c r="C223" s="2" t="inlineStr">
        <is>
          <t>w4-q2</t>
        </is>
      </c>
      <c r="D223" s="2" t="inlineStr">
        <is>
          <t>What does HTTP status 429 mean?</t>
        </is>
      </c>
      <c r="E223" s="2" t="inlineStr">
        <is>
          <t>list</t>
        </is>
      </c>
      <c r="F223" s="2" t="inlineStr">
        <is>
          <t>too many requests in a given amount of time</t>
        </is>
      </c>
      <c r="G223" s="2" t="inlineStr">
        <is>
          <t>R6</t>
        </is>
      </c>
      <c r="H223" s="2" t="n">
        <v>1</v>
      </c>
      <c r="I223" s="2" t="inlineStr">
        <is>
          <t>yes</t>
        </is>
      </c>
      <c r="J223" s="2" t="inlineStr">
        <is>
          <t>yes</t>
        </is>
      </c>
      <c r="K223" s="2" t="inlineStr">
        <is>
          <t>https://developer.mozilla.org/en-US/docs/Web/HTTP/Reference/Status</t>
        </is>
      </c>
      <c r="L223" s="2" t="inlineStr">
        <is>
          <t>HTTP response status codes &gt; Client error responses</t>
        </is>
      </c>
      <c r="M223" s="2" t="inlineStr">
        <is>
          <t>te on the server, leading to a conflict.
429 Too Many Requests
The user has sent too many requests in a given amount of time (rate limiting).
431 Request Header Fields Too Large
The server is unwilling to process the request because its header fi</t>
        </is>
      </c>
    </row>
    <row r="224">
      <c r="A224" s="2" t="inlineStr">
        <is>
          <t>R6</t>
        </is>
      </c>
      <c r="B224" s="2" t="inlineStr">
        <is>
          <t>W4</t>
        </is>
      </c>
      <c r="C224" s="2" t="inlineStr">
        <is>
          <t>w4-q3</t>
        </is>
      </c>
      <c r="D224" s="2" t="inlineStr">
        <is>
          <t>How must multiple Cache-Control directives be separated?</t>
        </is>
      </c>
      <c r="E224" s="2" t="inlineStr">
        <is>
          <t>text</t>
        </is>
      </c>
      <c r="F224" s="2" t="inlineStr">
        <is>
          <t>must be comma-separated</t>
        </is>
      </c>
      <c r="G224" s="2" t="inlineStr">
        <is>
          <t>R6</t>
        </is>
      </c>
      <c r="H224" s="2" t="n">
        <v>1</v>
      </c>
      <c r="I224" s="2" t="inlineStr">
        <is>
          <t>yes</t>
        </is>
      </c>
      <c r="J224" s="2" t="inlineStr">
        <is>
          <t>yes</t>
        </is>
      </c>
      <c r="K224" s="2" t="inlineStr">
        <is>
          <t>https://developer.mozilla.org/en-US/docs/Web/HTTP/Reference/Headers/Cache-Control</t>
        </is>
      </c>
      <c r="L224" s="2" t="inlineStr">
        <is>
          <t>Cache-Control header &gt; Syntax</t>
        </is>
      </c>
      <c r="M224" s="2" t="inlineStr">
        <is>
          <t>Syntax
Cache-Control: &lt;directive&gt;, &lt;directive&gt;, ...
Cache directives follow these rules:
Caching directives are case-insensitive. However, lowercase is recommended because some implementations do not recognize uppercase directives.
Multiple direc</t>
        </is>
      </c>
    </row>
    <row r="225">
      <c r="A225" s="2" t="inlineStr">
        <is>
          <t>R6</t>
        </is>
      </c>
      <c r="B225" s="2" t="inlineStr">
        <is>
          <t>W4</t>
        </is>
      </c>
      <c r="C225" s="2" t="inlineStr">
        <is>
          <t>w4-q4</t>
        </is>
      </c>
      <c r="D225" s="2" t="inlineStr">
        <is>
          <t>What is a closure in JavaScript?</t>
        </is>
      </c>
      <c r="E225" s="2" t="inlineStr">
        <is>
          <t>text</t>
        </is>
      </c>
      <c r="F225" s="2" t="inlineStr">
        <is>
          <t>combination of a function bundled together</t>
        </is>
      </c>
      <c r="G225" s="2" t="inlineStr">
        <is>
          <t>R6</t>
        </is>
      </c>
      <c r="H225" s="2" t="n">
        <v>1</v>
      </c>
      <c r="I225" s="2" t="inlineStr">
        <is>
          <t>yes</t>
        </is>
      </c>
      <c r="J225" s="2" t="inlineStr">
        <is>
          <t>yes</t>
        </is>
      </c>
      <c r="K225" s="2" t="inlineStr">
        <is>
          <t>https://developer.mozilla.org/en-US/docs/Web/JavaScript/Guide/Closures</t>
        </is>
      </c>
      <c r="L225" s="2" t="inlineStr">
        <is>
          <t>Closures</t>
        </is>
      </c>
      <c r="M225" s="2" t="inlineStr">
        <is>
          <t>Closures
A closure is the combination of a function bundled together (enclosed) with references to its surrounding state (the lexical environment). In other words, a closure gives a function access to its outer scope. In JavaScript, closures are cre</t>
        </is>
      </c>
    </row>
    <row r="226">
      <c r="A226" s="2" t="inlineStr">
        <is>
          <t>R6</t>
        </is>
      </c>
      <c r="B226" s="2" t="inlineStr">
        <is>
          <t>W4</t>
        </is>
      </c>
      <c r="C226" s="2" t="inlineStr">
        <is>
          <t>w4-q5</t>
        </is>
      </c>
      <c r="D226" s="2" t="inlineStr">
        <is>
          <t>How many mandatory arguments does the fetch() method take?</t>
        </is>
      </c>
      <c r="E226" s="2" t="inlineStr">
        <is>
          <t>text</t>
        </is>
      </c>
      <c r="F226" s="2" t="inlineStr">
        <is>
          <t>one mandatory argument</t>
        </is>
      </c>
      <c r="G226" s="2" t="inlineStr">
        <is>
          <t>R6</t>
        </is>
      </c>
      <c r="H226" s="2" t="n">
        <v>1</v>
      </c>
      <c r="I226" s="2" t="inlineStr">
        <is>
          <t>yes</t>
        </is>
      </c>
      <c r="J226" s="2" t="inlineStr">
        <is>
          <t>yes</t>
        </is>
      </c>
      <c r="K226" s="2" t="inlineStr">
        <is>
          <t>https://developer.mozilla.org/en-US/docs/Web/API/Fetch_API</t>
        </is>
      </c>
      <c r="L226" s="2" t="inlineStr">
        <is>
          <t>Fetch API &gt; Concepts and usage</t>
        </is>
      </c>
      <c r="M226" s="2" t="inlineStr">
        <is>
          <t xml:space="preserve">xt you might want to fetch resources in.
The fetch() method takes one mandatory argument, the path to the resource you want to fetch. It returns a Promise that resolves to the Response to that request — as soon as the server responds with headers — </t>
        </is>
      </c>
    </row>
    <row r="227">
      <c r="A227" s="2" t="inlineStr">
        <is>
          <t>R6</t>
        </is>
      </c>
      <c r="B227" s="2" t="inlineStr">
        <is>
          <t>W4</t>
        </is>
      </c>
      <c r="C227" s="2" t="inlineStr">
        <is>
          <t>w4-q6</t>
        </is>
      </c>
      <c r="D227" s="2" t="inlineStr">
        <is>
          <t>What does the HTTP QUERY method do?</t>
        </is>
      </c>
      <c r="E227" s="2" t="inlineStr">
        <is>
          <t>text</t>
        </is>
      </c>
      <c r="F227" s="2" t="inlineStr">
        <is>
          <t>the query method initiates a server-side query</t>
        </is>
      </c>
      <c r="G227" s="2" t="inlineStr">
        <is>
          <t>R6</t>
        </is>
      </c>
      <c r="H227" s="2" t="n">
        <v>1</v>
      </c>
      <c r="I227" s="2" t="inlineStr">
        <is>
          <t>yes</t>
        </is>
      </c>
      <c r="J227" s="2" t="inlineStr">
        <is>
          <t>yes</t>
        </is>
      </c>
      <c r="K227" s="2" t="inlineStr">
        <is>
          <t>https://developer.mozilla.org/en-US/docs/Web/HTTP/Reference/Methods</t>
        </is>
      </c>
      <c r="L227" s="2" t="inlineStr">
        <is>
          <t>HTTP request methods</t>
        </is>
      </c>
      <c r="M227" s="2" t="inlineStr">
        <is>
          <t xml:space="preserve">ould not contain a request content.
QUERY
The QUERY method initiates a server-side query. It requests that the target resource process the request content in a safe and idempotent manner, returning the result in the response.
It is similar to GET, </t>
        </is>
      </c>
    </row>
    <row r="228">
      <c r="A228" s="2" t="inlineStr">
        <is>
          <t>R6</t>
        </is>
      </c>
      <c r="B228" s="2" t="inlineStr">
        <is>
          <t>W4</t>
        </is>
      </c>
      <c r="C228" s="2" t="inlineStr">
        <is>
          <t>w4-q7</t>
        </is>
      </c>
      <c r="D228" s="2" t="inlineStr">
        <is>
          <t>In MDN's CORS preflight example, what value is sent in the Access-Control-Max-Age header?</t>
        </is>
      </c>
      <c r="E228" s="2" t="inlineStr">
        <is>
          <t>code</t>
        </is>
      </c>
      <c r="F228" s="2" t="inlineStr">
        <is>
          <t>access-control-max-age: 86400</t>
        </is>
      </c>
      <c r="G228" s="2" t="inlineStr">
        <is>
          <t>R6</t>
        </is>
      </c>
      <c r="H228" s="2" t="n">
        <v>5</v>
      </c>
      <c r="I228" s="2" t="inlineStr">
        <is>
          <t>no</t>
        </is>
      </c>
      <c r="J228" s="2" t="inlineStr">
        <is>
          <t>yes</t>
        </is>
      </c>
      <c r="K228" s="2" t="inlineStr">
        <is>
          <t>https://developer.mozilla.org/en-US/docs/Web/HTTP/Guides/CORS</t>
        </is>
      </c>
      <c r="L228" s="2" t="inlineStr">
        <is>
          <t>Cross-Origin Resource Sharing (CORS) &gt; Examples of access control scenarios &gt; Preflighted requests</t>
        </is>
      </c>
      <c r="M228" s="2" t="inlineStr">
        <is>
          <t>Finally, Access-Control-Max-Age gives the value in seconds for how long the response to the preflight request can be cached without sending another preflight request. The default value is 5 seconds. In the present case, the max age is 86400 seconds (</t>
        </is>
      </c>
    </row>
    <row r="229">
      <c r="A229" s="2" t="inlineStr">
        <is>
          <t>R6</t>
        </is>
      </c>
      <c r="B229" s="2" t="inlineStr">
        <is>
          <t>W4</t>
        </is>
      </c>
      <c r="C229" s="2" t="inlineStr">
        <is>
          <t>w4-q8</t>
        </is>
      </c>
      <c r="D229" s="2" t="inlineStr">
        <is>
          <t>Which HTTP status code means Payment Accepted?</t>
        </is>
      </c>
      <c r="E229" s="2" t="inlineStr">
        <is>
          <t>unanswerable</t>
        </is>
      </c>
      <c r="F229" s="2" t="inlineStr">
        <is>
          <t>(not in source)</t>
        </is>
      </c>
      <c r="G229" s="2" t="inlineStr">
        <is>
          <t>R6</t>
        </is>
      </c>
      <c r="H229" s="2" t="n"/>
      <c r="I229" s="2" t="inlineStr">
        <is>
          <t>n/a</t>
        </is>
      </c>
      <c r="J229" s="2" t="inlineStr">
        <is>
          <t>n/a</t>
        </is>
      </c>
      <c r="K229" s="2" t="inlineStr">
        <is>
          <t>https://developer.mozilla.org/en-US/docs/Web/HTTP/Reference/Status</t>
        </is>
      </c>
      <c r="L229" s="2" t="inlineStr">
        <is>
          <t>HTTP response status codes &gt; Successful responses</t>
        </is>
      </c>
      <c r="M229" s="2" t="inlineStr">
        <is>
          <t>uests, or some PUT requests.
202 Accepted
The request has been received but not yet acted upon.
It is noncommittal, since there is no way in HTTP to later send an asynchronous response indicating the outcome of the request.
It is intended for cases</t>
        </is>
      </c>
    </row>
    <row r="230">
      <c r="A230" s="2" t="inlineStr">
        <is>
          <t>R6</t>
        </is>
      </c>
      <c r="B230" s="2" t="inlineStr">
        <is>
          <t>F1</t>
        </is>
      </c>
      <c r="C230" s="2" t="inlineStr">
        <is>
          <t>f1-q1</t>
        </is>
      </c>
      <c r="D230" s="2" t="inlineStr">
        <is>
          <t>What are the layer, hidden size and attention head settings of BERT-base?</t>
        </is>
      </c>
      <c r="E230" s="2" t="inlineStr">
        <is>
          <t>text</t>
        </is>
      </c>
      <c r="F230" s="2" t="inlineStr">
        <is>
          <t>l=12, h=768, a=12</t>
        </is>
      </c>
      <c r="G230" s="2" t="inlineStr">
        <is>
          <t>R6</t>
        </is>
      </c>
      <c r="H230" s="2" t="n">
        <v>5</v>
      </c>
      <c r="I230" s="2" t="inlineStr">
        <is>
          <t>no</t>
        </is>
      </c>
      <c r="J230" s="2" t="inlineStr">
        <is>
          <t>yes</t>
        </is>
      </c>
      <c r="K230" s="2" t="inlineStr">
        <is>
          <t>acl-n19-1423-bert.pdf</t>
        </is>
      </c>
      <c r="L230" s="2" t="inlineStr">
        <is>
          <t>Language Understanding &gt; 5 Ablation Studies &gt; 5.3 Feature-based Approach with BERT</t>
        </is>
      </c>
      <c r="M230" s="2" t="inlineStr">
        <is>
          <t>) -
92.6 CSE (Akbik et al., 2018) -
93.1
Fine-tuning approach
BERTLARGE 96.6 92.8 BERTBASE 96.4 92.4
Feature-based approach (BERTBASE)
Embeddings 91.0 -
Second-to-Last Hidden 95.6 -
Last Hidden 94.9 -
Weighted Sum Last Four Hidden 95.9 -
Concat L</t>
        </is>
      </c>
    </row>
    <row r="231">
      <c r="A231" s="2" t="inlineStr">
        <is>
          <t>R6</t>
        </is>
      </c>
      <c r="B231" s="2" t="inlineStr">
        <is>
          <t>F1</t>
        </is>
      </c>
      <c r="C231" s="2" t="inlineStr">
        <is>
          <t>f1-q2</t>
        </is>
      </c>
      <c r="D231" s="2" t="inlineStr">
        <is>
          <t>What percentage of WordPiece tokens does BERT mask during pre-training?</t>
        </is>
      </c>
      <c r="E231" s="2" t="inlineStr">
        <is>
          <t>text</t>
        </is>
      </c>
      <c r="F231" s="2" t="inlineStr">
        <is>
          <t>15% of all wordpiece</t>
        </is>
      </c>
      <c r="G231" s="2" t="inlineStr">
        <is>
          <t>R6</t>
        </is>
      </c>
      <c r="H231" s="2" t="n">
        <v>1</v>
      </c>
      <c r="I231" s="2" t="inlineStr">
        <is>
          <t>yes</t>
        </is>
      </c>
      <c r="J231" s="2" t="inlineStr">
        <is>
          <t>yes</t>
        </is>
      </c>
      <c r="K231" s="2" t="inlineStr">
        <is>
          <t>acl-n19-1423-bert.pdf</t>
        </is>
      </c>
      <c r="L231" s="2" t="inlineStr">
        <is>
          <t>Language Understanding &gt; 3 BERT &gt; 3.1 Pre-training BERT</t>
        </is>
      </c>
      <c r="M231" s="2" t="inlineStr">
        <is>
          <t xml:space="preserve">In this case, the ﬁnal hidden vectors corresponding to the mask tokens are fed into an output softmax over the vocabulary, as in a standard LM. In all of our experiments, we mask 15% of all WordPiece tokens in each sequence at random. In contrast to </t>
        </is>
      </c>
    </row>
    <row r="232">
      <c r="A232" s="2" t="inlineStr">
        <is>
          <t>R6</t>
        </is>
      </c>
      <c r="B232" s="2" t="inlineStr">
        <is>
          <t>F1</t>
        </is>
      </c>
      <c r="C232" s="2" t="inlineStr">
        <is>
          <t>f1-q3</t>
        </is>
      </c>
      <c r="D232" s="2" t="inlineStr">
        <is>
          <t>What GLUE score did BERT reach?</t>
        </is>
      </c>
      <c r="E232" s="2" t="inlineStr">
        <is>
          <t>text</t>
        </is>
      </c>
      <c r="F232" s="2" t="inlineStr">
        <is>
          <t>glue score to 80.5%</t>
        </is>
      </c>
      <c r="G232" s="2" t="inlineStr">
        <is>
          <t>R6</t>
        </is>
      </c>
      <c r="H232" s="2" t="n"/>
      <c r="I232" s="2" t="inlineStr">
        <is>
          <t>no</t>
        </is>
      </c>
      <c r="J232" s="2" t="inlineStr">
        <is>
          <t>no</t>
        </is>
      </c>
      <c r="K232" s="2" t="inlineStr">
        <is>
          <t>acl-n19-1423-bert.pdf</t>
        </is>
      </c>
      <c r="L232" s="2" t="inlineStr">
        <is>
          <t>Language Understanding &gt; 4 Experiments &gt; 4.1 GLUE</t>
        </is>
      </c>
      <c r="M232" s="2" t="inlineStr">
        <is>
          <t>For the largest and most widely reported GLUE task, MNLI, BERT obtains a 4.6% absolute accuracy improvement. On the ofﬁcial GLUE leaderboard10, BERTLARGE obtains a score of 80.5, compared to OpenAI GPT, which obtains 72.8 as of the date of writing. W</t>
        </is>
      </c>
    </row>
    <row r="233">
      <c r="A233" s="2" t="inlineStr">
        <is>
          <t>R6</t>
        </is>
      </c>
      <c r="B233" s="2" t="inlineStr">
        <is>
          <t>F1</t>
        </is>
      </c>
      <c r="C233" s="2" t="inlineStr">
        <is>
          <t>f1-q4</t>
        </is>
      </c>
      <c r="D233" s="2" t="inlineStr">
        <is>
          <t>Which corpora were used to pre-train BERT?</t>
        </is>
      </c>
      <c r="E233" s="2" t="inlineStr">
        <is>
          <t>text</t>
        </is>
      </c>
      <c r="F233" s="2" t="inlineStr">
        <is>
          <t>bookscorpus (800m words)</t>
        </is>
      </c>
      <c r="G233" s="2" t="inlineStr">
        <is>
          <t>R6</t>
        </is>
      </c>
      <c r="H233" s="2" t="n">
        <v>2</v>
      </c>
      <c r="I233" s="2" t="inlineStr">
        <is>
          <t>no</t>
        </is>
      </c>
      <c r="J233" s="2" t="inlineStr">
        <is>
          <t>yes</t>
        </is>
      </c>
      <c r="K233" s="2" t="inlineStr">
        <is>
          <t>acl-n19-1423-bert.pdf</t>
        </is>
      </c>
      <c r="L233" s="2" t="inlineStr">
        <is>
          <t>Language Understanding &gt; 3 BERT &gt; 3.1
Pre-training BERT</t>
        </is>
      </c>
      <c r="M233" s="2" t="inlineStr">
        <is>
          <t>3.1
Pre-training BERT</t>
        </is>
      </c>
    </row>
    <row r="234">
      <c r="A234" s="2" t="inlineStr">
        <is>
          <t>R6</t>
        </is>
      </c>
      <c r="B234" s="2" t="inlineStr">
        <is>
          <t>F1</t>
        </is>
      </c>
      <c r="C234" s="2" t="inlineStr">
        <is>
          <t>f1-q5</t>
        </is>
      </c>
      <c r="D234" s="2" t="inlineStr">
        <is>
          <t>What SQuAD v1.1 Test F1 did BERT achieve?</t>
        </is>
      </c>
      <c r="E234" s="2" t="inlineStr">
        <is>
          <t>text</t>
        </is>
      </c>
      <c r="F234" s="2" t="inlineStr">
        <is>
          <t>93.2</t>
        </is>
      </c>
      <c r="G234" s="2" t="inlineStr">
        <is>
          <t>R6</t>
        </is>
      </c>
      <c r="H234" s="2" t="n">
        <v>4</v>
      </c>
      <c r="I234" s="2" t="inlineStr">
        <is>
          <t>no</t>
        </is>
      </c>
      <c r="J234" s="2" t="inlineStr">
        <is>
          <t>yes</t>
        </is>
      </c>
      <c r="K234" s="2" t="inlineStr">
        <is>
          <t>acl-n19-1423-bert.pdf</t>
        </is>
      </c>
      <c r="L234" s="2" t="inlineStr">
        <is>
          <t>Language Understanding &gt; 4 Experiments &gt; 4.2 SQuAD v1.1</t>
        </is>
      </c>
      <c r="M234" s="2" t="inlineStr">
        <is>
          <t>hat
use BERT as one of their components.
tuning data, we only lose 0.1-0.4 F1, still outperforming all existing systems by a wide margin.12</t>
        </is>
      </c>
    </row>
    <row r="235">
      <c r="A235" s="2" t="inlineStr">
        <is>
          <t>R6</t>
        </is>
      </c>
      <c r="B235" s="2" t="inlineStr">
        <is>
          <t>F1</t>
        </is>
      </c>
      <c r="C235" s="2" t="inlineStr">
        <is>
          <t>f1-q6</t>
        </is>
      </c>
      <c r="D235" s="2" t="inlineStr">
        <is>
          <t>How many total parameters does BERT-large have?</t>
        </is>
      </c>
      <c r="E235" s="2" t="inlineStr">
        <is>
          <t>text</t>
        </is>
      </c>
      <c r="F235" s="2" t="inlineStr">
        <is>
          <t>total parameters=340m</t>
        </is>
      </c>
      <c r="G235" s="2" t="inlineStr">
        <is>
          <t>R6</t>
        </is>
      </c>
      <c r="H235" s="2" t="n">
        <v>2</v>
      </c>
      <c r="I235" s="2" t="inlineStr">
        <is>
          <t>no</t>
        </is>
      </c>
      <c r="J235" s="2" t="inlineStr">
        <is>
          <t>yes</t>
        </is>
      </c>
      <c r="K235" s="2" t="inlineStr">
        <is>
          <t>acl-n19-1423-bert.pdf</t>
        </is>
      </c>
      <c r="L235" s="2" t="inlineStr">
        <is>
          <t>Language Understanding &gt; 5 Ablation Studies &gt; 5.2 Effect of Model Size</t>
        </is>
      </c>
      <c r="M235" s="2" t="inlineStr">
        <is>
          <t xml:space="preserve"> and BERTLARGE contains 340M parameters.
It has long been known that increasing the model size will lead to continual improvements on large-scale tasks such as machine translation and language modeling, which is demonstrated by the LM perplexity of </t>
        </is>
      </c>
    </row>
    <row r="236">
      <c r="A236" s="2" t="inlineStr">
        <is>
          <t>R6</t>
        </is>
      </c>
      <c r="B236" s="2" t="inlineStr">
        <is>
          <t>F1</t>
        </is>
      </c>
      <c r="C236" s="2" t="inlineStr">
        <is>
          <t>f1-q7</t>
        </is>
      </c>
      <c r="D236" s="2" t="inlineStr">
        <is>
          <t>How many GPUs were used to train GPT-4?</t>
        </is>
      </c>
      <c r="E236" s="2" t="inlineStr">
        <is>
          <t>unanswerable</t>
        </is>
      </c>
      <c r="F236" s="2" t="inlineStr">
        <is>
          <t>(not in source)</t>
        </is>
      </c>
      <c r="G236" s="2" t="inlineStr">
        <is>
          <t>R6</t>
        </is>
      </c>
      <c r="H236" s="2" t="n"/>
      <c r="I236" s="2" t="inlineStr">
        <is>
          <t>n/a</t>
        </is>
      </c>
      <c r="J236" s="2" t="inlineStr">
        <is>
          <t>n/a</t>
        </is>
      </c>
      <c r="K236" s="2" t="inlineStr">
        <is>
          <t>acl-n19-1423-bert.pdf</t>
        </is>
      </c>
      <c r="L236" s="2" t="inlineStr">
        <is>
          <t>Language Understanding &gt; 3 BERT</t>
        </is>
      </c>
      <c r="M236" s="2" t="inlineStr">
        <is>
          <t>4, H=1024, A=16, Total Parameters=340M).
BERTBASE was chosen to have the same model size as OpenAI GPT for comparison purposes. Critically, however, the BERT Transformer uses bidirectional self-attention, while the GPT Transformer uses constrained s</t>
        </is>
      </c>
    </row>
    <row r="237">
      <c r="A237" s="2" t="inlineStr">
        <is>
          <t>R6</t>
        </is>
      </c>
      <c r="B237" s="2" t="inlineStr">
        <is>
          <t>F2</t>
        </is>
      </c>
      <c r="C237" s="2" t="inlineStr">
        <is>
          <t>f2-q1</t>
        </is>
      </c>
      <c r="D237" s="2" t="inlineStr">
        <is>
          <t>What was real median household income in the United States in 2022?</t>
        </is>
      </c>
      <c r="E237" s="2" t="inlineStr">
        <is>
          <t>text</t>
        </is>
      </c>
      <c r="F237" s="2" t="inlineStr">
        <is>
          <t>$74,580</t>
        </is>
      </c>
      <c r="G237" s="2" t="inlineStr">
        <is>
          <t>R6</t>
        </is>
      </c>
      <c r="H237" s="2" t="n">
        <v>1</v>
      </c>
      <c r="I237" s="2" t="inlineStr">
        <is>
          <t>yes</t>
        </is>
      </c>
      <c r="J237" s="2" t="inlineStr">
        <is>
          <t>yes</t>
        </is>
      </c>
      <c r="K237" s="2" t="inlineStr">
        <is>
          <t>census-p60-279.pdf</t>
        </is>
      </c>
      <c r="L237" s="2" t="inlineStr">
        <is>
          <t>Income in the United States: 2022 &gt; HOUSEHOLD INCOME BY SELECTED CHARACTERISTICS &gt; All Households</t>
        </is>
      </c>
      <c r="M237" s="2" t="inlineStr">
        <is>
          <t>All Households
Real median household income 
was $74,580 in 2022, 2.3 percent 
lower than the 2021 estimate of 
$76,330. It was 4.7 percent lower 
than the 2019 median, the year 
before the start of the COVID-19 
pandemic and the corresponding 
rece</t>
        </is>
      </c>
    </row>
    <row r="238">
      <c r="A238" s="2" t="inlineStr">
        <is>
          <t>R6</t>
        </is>
      </c>
      <c r="B238" s="2" t="inlineStr">
        <is>
          <t>F2</t>
        </is>
      </c>
      <c r="C238" s="2" t="inlineStr">
        <is>
          <t>f2-q2</t>
        </is>
      </c>
      <c r="D238" s="2" t="inlineStr">
        <is>
          <t>By how much did real median household income change between 2021 and 2022?</t>
        </is>
      </c>
      <c r="E238" s="2" t="inlineStr">
        <is>
          <t>text</t>
        </is>
      </c>
      <c r="F238" s="2" t="inlineStr">
        <is>
          <t>2.3 percent</t>
        </is>
      </c>
      <c r="G238" s="2" t="inlineStr">
        <is>
          <t>R6</t>
        </is>
      </c>
      <c r="H238" s="2" t="n">
        <v>2</v>
      </c>
      <c r="I238" s="2" t="inlineStr">
        <is>
          <t>no</t>
        </is>
      </c>
      <c r="J238" s="2" t="inlineStr">
        <is>
          <t>yes</t>
        </is>
      </c>
      <c r="K238" s="2" t="inlineStr">
        <is>
          <t>census-p60-279.pdf</t>
        </is>
      </c>
      <c r="L238" s="2" t="inlineStr">
        <is>
          <t>Income in the United States: 2022 &gt; HOUSEHOLD INCOME BY SELECTED CHARACTERISTICS &gt; Change: 2021 to 2022
2022 Median Income</t>
        </is>
      </c>
      <c r="M238" s="2" t="inlineStr">
        <is>
          <t>Change: 2021 to 2022
2022 Median Income</t>
        </is>
      </c>
    </row>
    <row r="239">
      <c r="A239" s="2" t="inlineStr">
        <is>
          <t>R6</t>
        </is>
      </c>
      <c r="B239" s="2" t="inlineStr">
        <is>
          <t>F2</t>
        </is>
      </c>
      <c r="C239" s="2" t="inlineStr">
        <is>
          <t>f2-q3</t>
        </is>
      </c>
      <c r="D239" s="2" t="inlineStr">
        <is>
          <t>How did the money income Gini index change between 2021 and 2022?</t>
        </is>
      </c>
      <c r="E239" s="2" t="inlineStr">
        <is>
          <t>text</t>
        </is>
      </c>
      <c r="F239" s="2" t="inlineStr">
        <is>
          <t>from 0.494 to 0.488</t>
        </is>
      </c>
      <c r="G239" s="2" t="inlineStr">
        <is>
          <t>R6</t>
        </is>
      </c>
      <c r="H239" s="2" t="n">
        <v>1</v>
      </c>
      <c r="I239" s="2" t="inlineStr">
        <is>
          <t>yes</t>
        </is>
      </c>
      <c r="J239" s="2" t="inlineStr">
        <is>
          <t>yes</t>
        </is>
      </c>
      <c r="K239" s="2" t="inlineStr">
        <is>
          <t>census-p60-279.pdf</t>
        </is>
      </c>
      <c r="L239" s="2" t="inlineStr">
        <is>
          <t>Income in the United States: 2022 &gt; INTRODUCTION &gt; Highlights</t>
        </is>
      </c>
      <c r="M239" s="2" t="inlineStr">
        <is>
          <t>me 
between 2021 and 2022 
(Figure 1).5
• The money income Gini index 
decreased by 1.2 percent 
between 2021 and 2022 (from 
0.494 to 0.488); this represents 
the first time the Gini index has 
shown an annual decrease since 
2007 (Figure 3 and Ta</t>
        </is>
      </c>
    </row>
    <row r="240">
      <c r="A240" s="2" t="inlineStr">
        <is>
          <t>R6</t>
        </is>
      </c>
      <c r="B240" s="2" t="inlineStr">
        <is>
          <t>F2</t>
        </is>
      </c>
      <c r="C240" s="2" t="inlineStr">
        <is>
          <t>f2-q4</t>
        </is>
      </c>
      <c r="D240" s="2" t="inlineStr">
        <is>
          <t>What was the median income of married-couple households in 2022 according to Table A-1?</t>
        </is>
      </c>
      <c r="E240" s="2" t="inlineStr">
        <is>
          <t>table</t>
        </is>
      </c>
      <c r="F240" s="2" t="inlineStr">
        <is>
          <t>married-couple + 110,800</t>
        </is>
      </c>
      <c r="G240" s="2" t="inlineStr">
        <is>
          <t>R6</t>
        </is>
      </c>
      <c r="H240" s="2" t="n"/>
      <c r="I240" s="2" t="inlineStr">
        <is>
          <t>no</t>
        </is>
      </c>
      <c r="J240" s="2" t="inlineStr">
        <is>
          <t>no</t>
        </is>
      </c>
      <c r="K240" s="2" t="inlineStr">
        <is>
          <t>census-p60-279.pdf</t>
        </is>
      </c>
      <c r="L240" s="2" t="inlineStr">
        <is>
          <t>Income in the United States: 2022 &gt; HOUSEHOLD INCOME BY SELECTED CHARACTERISTICS &gt; Type of Household8</t>
        </is>
      </c>
      <c r="M240" s="2" t="inlineStr">
        <is>
          <t>Type of Household8
The 2022 real median income of 
family households declined by 
2.9 percent from 2021, and the 
real median income of marriedcouple families declined by 3.9 
percent. Among family house holds, married couples had the 
highest media</t>
        </is>
      </c>
    </row>
    <row r="241">
      <c r="A241" s="2" t="inlineStr">
        <is>
          <t>R6</t>
        </is>
      </c>
      <c r="B241" s="2" t="inlineStr">
        <is>
          <t>F2</t>
        </is>
      </c>
      <c r="C241" s="2" t="inlineStr">
        <is>
          <t>f2-q5</t>
        </is>
      </c>
      <c r="D241" s="2" t="inlineStr">
        <is>
          <t>What was the median income of family households in 2022 according to Table A-1?</t>
        </is>
      </c>
      <c r="E241" s="2" t="inlineStr">
        <is>
          <t>table</t>
        </is>
      </c>
      <c r="F241" s="2" t="inlineStr">
        <is>
          <t>family households + 95,450</t>
        </is>
      </c>
      <c r="G241" s="2" t="inlineStr">
        <is>
          <t>R6</t>
        </is>
      </c>
      <c r="H241" s="2" t="n"/>
      <c r="I241" s="2" t="inlineStr">
        <is>
          <t>no</t>
        </is>
      </c>
      <c r="J241" s="2" t="inlineStr">
        <is>
          <t>no</t>
        </is>
      </c>
      <c r="K241" s="2" t="inlineStr">
        <is>
          <t>census-p60-279.pdf</t>
        </is>
      </c>
      <c r="L241" s="2" t="inlineStr">
        <is>
          <t>Income in the United States: 2022 &gt; HOUSEHOLD INCOME BY SELECTED CHARACTERISTICS &gt; Type of Household8</t>
        </is>
      </c>
      <c r="M241" s="2" t="inlineStr">
        <is>
          <t>Type of Household8
The 2022 real median income of 
family households declined by 
2.9 percent from 2021, and the 
real median income of marriedcouple families declined by 3.9 
percent. Among family house holds, married couples had the 
highest media</t>
        </is>
      </c>
    </row>
    <row r="242">
      <c r="A242" s="2" t="inlineStr">
        <is>
          <t>R6</t>
        </is>
      </c>
      <c r="B242" s="2" t="inlineStr">
        <is>
          <t>F2</t>
        </is>
      </c>
      <c r="C242" s="2" t="inlineStr">
        <is>
          <t>f2-q6</t>
        </is>
      </c>
      <c r="D242" s="2" t="inlineStr">
        <is>
          <t>What was the median income of nonfamily households in 2022 according to Table A-1?</t>
        </is>
      </c>
      <c r="E242" s="2" t="inlineStr">
        <is>
          <t>table</t>
        </is>
      </c>
      <c r="F242" s="2" t="inlineStr">
        <is>
          <t>nonfamily households + 45,440</t>
        </is>
      </c>
      <c r="G242" s="2" t="inlineStr">
        <is>
          <t>R6</t>
        </is>
      </c>
      <c r="H242" s="2" t="n">
        <v>1</v>
      </c>
      <c r="I242" s="2" t="inlineStr">
        <is>
          <t>yes</t>
        </is>
      </c>
      <c r="J242" s="2" t="inlineStr">
        <is>
          <t>yes</t>
        </is>
      </c>
      <c r="K242" s="2" t="inlineStr">
        <is>
          <t>census-p60-279.pdf</t>
        </is>
      </c>
      <c r="L242" s="2" t="inlineStr">
        <is>
          <t>Income in the United States: 2022 &gt; HOUSEHOLD INCOME BY SELECTED CHARACTERISTICS &gt; Type of Household8</t>
        </is>
      </c>
      <c r="M242" s="2" t="inlineStr">
        <is>
          <t>Nonfamily households had a 
median income of $45,440 in 
2022, which was not significantly 
different from 2021 (Figure 1 and 
Table A-1). Nonfamily house holds with a female householder 
were the only household type to 
experience an increase in med</t>
        </is>
      </c>
    </row>
    <row r="243">
      <c r="A243" s="2" t="inlineStr">
        <is>
          <t>R6</t>
        </is>
      </c>
      <c r="B243" s="2" t="inlineStr">
        <is>
          <t>F2</t>
        </is>
      </c>
      <c r="C243" s="2" t="inlineStr">
        <is>
          <t>f2-q7</t>
        </is>
      </c>
      <c r="D243" s="2" t="inlineStr">
        <is>
          <t>What was the median household income in Canada in 2022?</t>
        </is>
      </c>
      <c r="E243" s="2" t="inlineStr">
        <is>
          <t>unanswerable</t>
        </is>
      </c>
      <c r="F243" s="2" t="inlineStr">
        <is>
          <t>(not in source)</t>
        </is>
      </c>
      <c r="G243" s="2" t="inlineStr">
        <is>
          <t>R6</t>
        </is>
      </c>
      <c r="H243" s="2" t="n"/>
      <c r="I243" s="2" t="inlineStr">
        <is>
          <t>n/a</t>
        </is>
      </c>
      <c r="J243" s="2" t="inlineStr">
        <is>
          <t>n/a</t>
        </is>
      </c>
      <c r="K243" s="2" t="inlineStr">
        <is>
          <t>census-p60-279.pdf</t>
        </is>
      </c>
      <c r="L243" s="2" t="inlineStr">
        <is>
          <t>Income in the United States: 2022 &gt; HOUSEHOLD INCOME BY SELECTED CHARACTERISTICS &gt; Change: 2021 to 2022
2022 Median Income</t>
        </is>
      </c>
      <c r="M243" s="2" t="inlineStr">
        <is>
          <t>Change: 2021 to 2022
2022 Median Income</t>
        </is>
      </c>
    </row>
    <row r="244">
      <c r="A244" s="2" t="inlineStr">
        <is>
          <t>R6</t>
        </is>
      </c>
      <c r="B244" s="2" t="inlineStr">
        <is>
          <t>F3</t>
        </is>
      </c>
      <c r="C244" s="2" t="inlineStr">
        <is>
          <t>f3-q1</t>
        </is>
      </c>
      <c r="D244" s="2" t="inlineStr">
        <is>
          <t>How many television pictures does Part III of the Surveyor VI report present?</t>
        </is>
      </c>
      <c r="E244" s="2" t="inlineStr">
        <is>
          <t>ocr</t>
        </is>
      </c>
      <c r="F244" s="2" t="inlineStr">
        <is>
          <t>139 of the total number</t>
        </is>
      </c>
      <c r="G244" s="2" t="inlineStr">
        <is>
          <t>R6</t>
        </is>
      </c>
      <c r="H244" s="2" t="n">
        <v>1</v>
      </c>
      <c r="I244" s="2" t="inlineStr">
        <is>
          <t>yes</t>
        </is>
      </c>
      <c r="J244" s="2" t="inlineStr">
        <is>
          <t>yes</t>
        </is>
      </c>
      <c r="K244" s="2" t="inlineStr">
        <is>
          <t>surveyor-vi-tv-scan.pdf</t>
        </is>
      </c>
      <c r="L244" s="2" t="inlineStr"/>
      <c r="M244" s="2" t="inlineStr">
        <is>
          <t xml:space="preserve">VI and appropriate explanatory material.
This Part III presents 139 of the total number of television pictures transmitted to earth from the lunar surface, between November 10 and November 24, 1967; 46 mosaics composed of individual frames are also </t>
        </is>
      </c>
    </row>
    <row r="245">
      <c r="A245" s="2" t="inlineStr">
        <is>
          <t>R6</t>
        </is>
      </c>
      <c r="B245" s="2" t="inlineStr">
        <is>
          <t>F3</t>
        </is>
      </c>
      <c r="C245" s="2" t="inlineStr">
        <is>
          <t>f3-q2</t>
        </is>
      </c>
      <c r="D245" s="2" t="inlineStr">
        <is>
          <t>Between which dates were the Surveyor VI television pictures transmitted?</t>
        </is>
      </c>
      <c r="E245" s="2" t="inlineStr">
        <is>
          <t>ocr</t>
        </is>
      </c>
      <c r="F245" s="2" t="inlineStr">
        <is>
          <t>november 10 and november 24, 1967</t>
        </is>
      </c>
      <c r="G245" s="2" t="inlineStr">
        <is>
          <t>R6</t>
        </is>
      </c>
      <c r="H245" s="2" t="n">
        <v>1</v>
      </c>
      <c r="I245" s="2" t="inlineStr">
        <is>
          <t>yes</t>
        </is>
      </c>
      <c r="J245" s="2" t="inlineStr">
        <is>
          <t>yes</t>
        </is>
      </c>
      <c r="K245" s="2" t="inlineStr">
        <is>
          <t>surveyor-vi-tv-scan.pdf</t>
        </is>
      </c>
      <c r="L245" s="2" t="inlineStr"/>
      <c r="M245" s="2" t="inlineStr">
        <is>
          <t xml:space="preserve">VI and appropriate explanatory material.
This Part III presents 139 of the total number of television pictures transmitted to earth from the lunar surface, between November 10 and November 24, 1967; 46 mosaics composed of individual frames are also </t>
        </is>
      </c>
    </row>
    <row r="246">
      <c r="A246" s="2" t="inlineStr">
        <is>
          <t>R6</t>
        </is>
      </c>
      <c r="B246" s="2" t="inlineStr">
        <is>
          <t>F3</t>
        </is>
      </c>
      <c r="C246" s="2" t="inlineStr">
        <is>
          <t>f3-q3</t>
        </is>
      </c>
      <c r="D246" s="2" t="inlineStr">
        <is>
          <t>How many mosaics are included in Part III?</t>
        </is>
      </c>
      <c r="E246" s="2" t="inlineStr">
        <is>
          <t>ocr</t>
        </is>
      </c>
      <c r="F246" s="2" t="inlineStr">
        <is>
          <t>46 mosaics</t>
        </is>
      </c>
      <c r="G246" s="2" t="inlineStr">
        <is>
          <t>R6</t>
        </is>
      </c>
      <c r="H246" s="2" t="n">
        <v>1</v>
      </c>
      <c r="I246" s="2" t="inlineStr">
        <is>
          <t>yes</t>
        </is>
      </c>
      <c r="J246" s="2" t="inlineStr">
        <is>
          <t>yes</t>
        </is>
      </c>
      <c r="K246" s="2" t="inlineStr">
        <is>
          <t>surveyor-vi-tv-scan.pdf</t>
        </is>
      </c>
      <c r="L246" s="2" t="inlineStr"/>
      <c r="M246" s="2" t="inlineStr">
        <is>
          <t xml:space="preserve">VI and appropriate explanatory material.
This Part III presents 139 of the total number of television pictures transmitted to earth from the lunar surface, between November 10 and November 24, 1967; 46 mosaics composed of individual frames are also </t>
        </is>
      </c>
    </row>
    <row r="247">
      <c r="A247" s="2" t="inlineStr">
        <is>
          <t>R6</t>
        </is>
      </c>
      <c r="B247" s="2" t="inlineStr">
        <is>
          <t>F3</t>
        </is>
      </c>
      <c r="C247" s="2" t="inlineStr">
        <is>
          <t>f3-q4</t>
        </is>
      </c>
      <c r="D247" s="2" t="inlineStr">
        <is>
          <t>What is the mass of the Surveyor survey TV camera?</t>
        </is>
      </c>
      <c r="E247" s="2" t="inlineStr">
        <is>
          <t>ocr</t>
        </is>
      </c>
      <c r="F247" s="2" t="inlineStr">
        <is>
          <t>7.3-kg camera</t>
        </is>
      </c>
      <c r="G247" s="2" t="inlineStr">
        <is>
          <t>R6</t>
        </is>
      </c>
      <c r="H247" s="2" t="n">
        <v>1</v>
      </c>
      <c r="I247" s="2" t="inlineStr">
        <is>
          <t>yes</t>
        </is>
      </c>
      <c r="J247" s="2" t="inlineStr">
        <is>
          <t>yes</t>
        </is>
      </c>
      <c r="K247" s="2" t="inlineStr">
        <is>
          <t>surveyor-vi-tv-scan.pdf</t>
        </is>
      </c>
      <c r="L247" s="2" t="inlineStr"/>
      <c r="M247" s="2" t="inlineStr">
        <is>
          <t xml:space="preserve"> and can focus from 1.22 m to infinity. 
The 7.3-kg camera consists essentially of six major components: mirror, lens, shutter, filter wheel, vidicon, and attendant electronic circuitry.</t>
        </is>
      </c>
    </row>
    <row r="248">
      <c r="A248" s="2" t="inlineStr">
        <is>
          <t>R6</t>
        </is>
      </c>
      <c r="B248" s="2" t="inlineStr">
        <is>
          <t>F3</t>
        </is>
      </c>
      <c r="C248" s="2" t="inlineStr">
        <is>
          <t>f3-q5</t>
        </is>
      </c>
      <c r="D248" s="2" t="inlineStr">
        <is>
          <t>Over what range can the Surveyor TV camera focus?</t>
        </is>
      </c>
      <c r="E248" s="2" t="inlineStr">
        <is>
          <t>ocr</t>
        </is>
      </c>
      <c r="F248" s="2" t="inlineStr">
        <is>
          <t>1.22 m to infinity</t>
        </is>
      </c>
      <c r="G248" s="2" t="inlineStr">
        <is>
          <t>R6</t>
        </is>
      </c>
      <c r="H248" s="2" t="n">
        <v>2</v>
      </c>
      <c r="I248" s="2" t="inlineStr">
        <is>
          <t>no</t>
        </is>
      </c>
      <c r="J248" s="2" t="inlineStr">
        <is>
          <t>yes</t>
        </is>
      </c>
      <c r="K248" s="2" t="inlineStr">
        <is>
          <t>surveyor-vi-tv-scan.pdf</t>
        </is>
      </c>
      <c r="L248" s="2" t="inlineStr"/>
      <c r="M248" s="2" t="inlineStr">
        <is>
          <t xml:space="preserve">I-5. Variable-focal-length lens assembly
100-mm or 25-mm focal length, resulting in a vertical field of view of approximately 6.43 or 25.3 deg, respectively, as measured by the angular subtense of the vertical dimension in the video format. Because </t>
        </is>
      </c>
    </row>
    <row r="249">
      <c r="A249" s="2" t="inlineStr">
        <is>
          <t>R6</t>
        </is>
      </c>
      <c r="B249" s="2" t="inlineStr">
        <is>
          <t>F3</t>
        </is>
      </c>
      <c r="C249" s="2" t="inlineStr">
        <is>
          <t>f3-q6</t>
        </is>
      </c>
      <c r="D249" s="2" t="inlineStr">
        <is>
          <t>What scene luminance range is the Surveyor camera designed to accommodate?</t>
        </is>
      </c>
      <c r="E249" s="2" t="inlineStr">
        <is>
          <t>ocr</t>
        </is>
      </c>
      <c r="F249" s="2" t="inlineStr">
        <is>
          <t>0.008 to 2600 ft-l</t>
        </is>
      </c>
      <c r="G249" s="2" t="inlineStr">
        <is>
          <t>R6</t>
        </is>
      </c>
      <c r="H249" s="2" t="n">
        <v>1</v>
      </c>
      <c r="I249" s="2" t="inlineStr">
        <is>
          <t>yes</t>
        </is>
      </c>
      <c r="J249" s="2" t="inlineStr">
        <is>
          <t>yes</t>
        </is>
      </c>
      <c r="K249" s="2" t="inlineStr">
        <is>
          <t>surveyor-vi-tv-scan.pdf</t>
        </is>
      </c>
      <c r="L249" s="2" t="inlineStr"/>
      <c r="M249" s="2" t="inlineStr">
        <is>
          <t>ceipt of photons from the object space. 
The camera is designed to accommodate scene luminance levels from approximately 0.008 to 2600 ft-L, using both electromechanical mode changes and iris control.
Frame-by-frame coverage of the lunar surface pr</t>
        </is>
      </c>
    </row>
    <row r="250">
      <c r="A250" s="2" t="inlineStr">
        <is>
          <t>R6</t>
        </is>
      </c>
      <c r="B250" s="2" t="inlineStr">
        <is>
          <t>F3</t>
        </is>
      </c>
      <c r="C250" s="2" t="inlineStr">
        <is>
          <t>f3-q7</t>
        </is>
      </c>
      <c r="D250" s="2" t="inlineStr">
        <is>
          <t>Which mission number in the Surveyor series was Surveyor VI?</t>
        </is>
      </c>
      <c r="E250" s="2" t="inlineStr">
        <is>
          <t>ocr</t>
        </is>
      </c>
      <c r="F250" s="2" t="inlineStr">
        <is>
          <t>the sixth in a series of unmanned lunar soft-landing missions</t>
        </is>
      </c>
      <c r="G250" s="2" t="inlineStr">
        <is>
          <t>R6</t>
        </is>
      </c>
      <c r="H250" s="2" t="n">
        <v>1</v>
      </c>
      <c r="I250" s="2" t="inlineStr">
        <is>
          <t>yes</t>
        </is>
      </c>
      <c r="J250" s="2" t="inlineStr">
        <is>
          <t>yes</t>
        </is>
      </c>
      <c r="K250" s="2" t="inlineStr">
        <is>
          <t>surveyor-vi-tv-scan.pdf</t>
        </is>
      </c>
      <c r="L250" s="2" t="inlineStr"/>
      <c r="M250" s="2" t="inlineStr">
        <is>
          <t>Preface
This three-part document constitutes the Project Mission Report on Surveyor VI, the sixth in a series of unmanned lunar soft-landing missions.</t>
        </is>
      </c>
    </row>
    <row r="251">
      <c r="A251" s="2" t="inlineStr">
        <is>
          <t>R6</t>
        </is>
      </c>
      <c r="B251" s="2" t="inlineStr">
        <is>
          <t>F3</t>
        </is>
      </c>
      <c r="C251" s="2" t="inlineStr">
        <is>
          <t>f3-q8</t>
        </is>
      </c>
      <c r="D251" s="2" t="inlineStr">
        <is>
          <t>What was the landing site latitude of Surveyor VII?</t>
        </is>
      </c>
      <c r="E251" s="2" t="inlineStr">
        <is>
          <t>unanswerable</t>
        </is>
      </c>
      <c r="F251" s="2" t="inlineStr">
        <is>
          <t>(not in source)</t>
        </is>
      </c>
      <c r="G251" s="2" t="inlineStr">
        <is>
          <t>R6</t>
        </is>
      </c>
      <c r="H251" s="2" t="n"/>
      <c r="I251" s="2" t="inlineStr">
        <is>
          <t>n/a</t>
        </is>
      </c>
      <c r="J251" s="2" t="inlineStr">
        <is>
          <t>n/a</t>
        </is>
      </c>
      <c r="K251" s="2" t="inlineStr">
        <is>
          <t>surveyor-vi-tv-scan.pdf</t>
        </is>
      </c>
      <c r="L251" s="2" t="inlineStr"/>
      <c r="M251" s="2" t="inlineStr">
        <is>
          <t>Preface
This three-part document constitutes the Project Mission Report on Surveyor VI, the sixth in a series of unmanned lunar soft-landing missions.</t>
        </is>
      </c>
    </row>
    <row r="252">
      <c r="A252" s="2" t="inlineStr">
        <is>
          <t>A1</t>
        </is>
      </c>
      <c r="B252" s="2" t="inlineStr">
        <is>
          <t>W1</t>
        </is>
      </c>
      <c r="C252" s="2" t="inlineStr">
        <is>
          <t>w1-q1</t>
        </is>
      </c>
      <c r="D252" s="2" t="inlineStr">
        <is>
          <t>Which class does the Python tutorial recommend for implementing a queue?</t>
        </is>
      </c>
      <c r="E252" s="2" t="inlineStr">
        <is>
          <t>text</t>
        </is>
      </c>
      <c r="F252" s="2" t="inlineStr">
        <is>
          <t>collections.deque</t>
        </is>
      </c>
      <c r="G252" s="2" t="inlineStr">
        <is>
          <t>A1</t>
        </is>
      </c>
      <c r="H252" s="2" t="n">
        <v>2</v>
      </c>
      <c r="I252" s="2" t="inlineStr">
        <is>
          <t>no</t>
        </is>
      </c>
      <c r="J252" s="2" t="inlineStr">
        <is>
          <t>yes</t>
        </is>
      </c>
      <c r="K252" s="2" t="inlineStr">
        <is>
          <t>https://docs.python.org/3/tutorial/datastructures.html</t>
        </is>
      </c>
      <c r="L252" s="2" t="inlineStr">
        <is>
          <t>5. Data Structures ¶ &gt; 5.1. More on Lists ¶ &gt; 5.1.2. Using Lists as Queues ¶</t>
        </is>
      </c>
      <c r="M252" s="2" t="inlineStr">
        <is>
          <t xml:space="preserve">e which was designed to
have fast appends and pops from both ends.  For example:
&gt;&gt;&gt; from collections import deque
&gt;&gt;&gt; queue = deque(["Eric", "John", "Michael"])
&gt;&gt;&gt; queue.append("Terry")           # Terry arrives
&gt;&gt;&gt; queue.append("Graham")         </t>
        </is>
      </c>
    </row>
    <row r="253">
      <c r="A253" s="2" t="inlineStr">
        <is>
          <t>A1</t>
        </is>
      </c>
      <c r="B253" s="2" t="inlineStr">
        <is>
          <t>W1</t>
        </is>
      </c>
      <c r="C253" s="2" t="inlineStr">
        <is>
          <t>w1-q2</t>
        </is>
      </c>
      <c r="D253" s="2" t="inlineStr">
        <is>
          <t>In CPython 3.3, where is the compiled version of a module named spam.py cached?</t>
        </is>
      </c>
      <c r="E253" s="2" t="inlineStr">
        <is>
          <t>code</t>
        </is>
      </c>
      <c r="F253" s="2" t="inlineStr">
        <is>
          <t>spam.cpython-33.pyc</t>
        </is>
      </c>
      <c r="G253" s="2" t="inlineStr">
        <is>
          <t>A1</t>
        </is>
      </c>
      <c r="H253" s="2" t="n">
        <v>1</v>
      </c>
      <c r="I253" s="2" t="inlineStr">
        <is>
          <t>yes</t>
        </is>
      </c>
      <c r="J253" s="2" t="inlineStr">
        <is>
          <t>yes</t>
        </is>
      </c>
      <c r="K253" s="2" t="inlineStr">
        <is>
          <t>https://docs.python.org/3/tutorial/modules.html</t>
        </is>
      </c>
      <c r="L253" s="2" t="inlineStr">
        <is>
          <t>6. Modules ¶ &gt; 6.1. More on Modules ¶</t>
        </is>
      </c>
      <c r="M253" s="2" t="inlineStr">
        <is>
          <t>6.1.3. “Compiled” Python files ¶
To speed up loading modules, Python caches the compiled version of each module
in the __pycache__ directory under the name module.version.pyc,
where the version encodes the format of the compiled file; it generally c</t>
        </is>
      </c>
    </row>
    <row r="254">
      <c r="A254" s="2" t="inlineStr">
        <is>
          <t>A1</t>
        </is>
      </c>
      <c r="B254" s="2" t="inlineStr">
        <is>
          <t>W1</t>
        </is>
      </c>
      <c r="C254" s="2" t="inlineStr">
        <is>
          <t>w1-q3</t>
        </is>
      </c>
      <c r="D254" s="2" t="inlineStr">
        <is>
          <t>What command does the tutorial use to create a virtual environment called tutorial-env?</t>
        </is>
      </c>
      <c r="E254" s="2" t="inlineStr">
        <is>
          <t>code</t>
        </is>
      </c>
      <c r="F254" s="2" t="inlineStr">
        <is>
          <t>python -m venv tutorial-env</t>
        </is>
      </c>
      <c r="G254" s="2" t="inlineStr">
        <is>
          <t>A1</t>
        </is>
      </c>
      <c r="H254" s="2" t="n">
        <v>1</v>
      </c>
      <c r="I254" s="2" t="inlineStr">
        <is>
          <t>yes</t>
        </is>
      </c>
      <c r="J254" s="2" t="inlineStr">
        <is>
          <t>yes</t>
        </is>
      </c>
      <c r="K254" s="2" t="inlineStr">
        <is>
          <t>https://docs.python.org/3/tutorial/venv.html</t>
        </is>
      </c>
      <c r="L254" s="2" t="inlineStr">
        <is>
          <t>12. Virtual Environments and Packages ¶</t>
        </is>
      </c>
      <c r="M254" s="2" t="inlineStr">
        <is>
          <t>12.2. Creating Virtual Environments ¶
The module used to create and manage virtual environments is called
venv.  venv will install the Python version from which
the command was run (as reported by the --version option).
For instance, executing the c</t>
        </is>
      </c>
    </row>
    <row r="255">
      <c r="A255" s="2" t="inlineStr">
        <is>
          <t>A1</t>
        </is>
      </c>
      <c r="B255" s="2" t="inlineStr">
        <is>
          <t>W1</t>
        </is>
      </c>
      <c r="C255" s="2" t="inlineStr">
        <is>
          <t>w1-q4</t>
        </is>
      </c>
      <c r="D255" s="2" t="inlineStr">
        <is>
          <t>When is the else clause of a for loop executed?</t>
        </is>
      </c>
      <c r="E255" s="2" t="inlineStr">
        <is>
          <t>text</t>
        </is>
      </c>
      <c r="F255" s="2" t="inlineStr">
        <is>
          <t>if no break occurred</t>
        </is>
      </c>
      <c r="G255" s="2" t="inlineStr">
        <is>
          <t>A1</t>
        </is>
      </c>
      <c r="H255" s="2" t="n">
        <v>2</v>
      </c>
      <c r="I255" s="2" t="inlineStr">
        <is>
          <t>no</t>
        </is>
      </c>
      <c r="J255" s="2" t="inlineStr">
        <is>
          <t>yes</t>
        </is>
      </c>
      <c r="K255" s="2" t="inlineStr">
        <is>
          <t>https://docs.python.org/3/tutorial/controlflow.html</t>
        </is>
      </c>
      <c r="L255" s="2" t="inlineStr">
        <is>
          <t>4. More Control Flow Tools ¶ &gt; 4.5. else Clauses on Loops ¶</t>
        </is>
      </c>
      <c r="M255" s="2" t="inlineStr">
        <is>
          <t>.  Look closely: the else clause belongs to
the for loop, not the if statement.)
One way to think of the else clause is to imagine it paired with the if
inside the loop.  As the loop executes, it will run a sequence like
if/if/if/else. The if is ins</t>
        </is>
      </c>
    </row>
    <row r="256">
      <c r="A256" s="2" t="inlineStr">
        <is>
          <t>A1</t>
        </is>
      </c>
      <c r="B256" s="2" t="inlineStr">
        <is>
          <t>W1</t>
        </is>
      </c>
      <c r="C256" s="2" t="inlineStr">
        <is>
          <t>w1-q5</t>
        </is>
      </c>
      <c r="D256" s="2" t="inlineStr">
        <is>
          <t>What does the pass statement do?</t>
        </is>
      </c>
      <c r="E256" s="2" t="inlineStr">
        <is>
          <t>text</t>
        </is>
      </c>
      <c r="F256" s="2" t="inlineStr">
        <is>
          <t>the pass statement does nothing</t>
        </is>
      </c>
      <c r="G256" s="2" t="inlineStr">
        <is>
          <t>A1</t>
        </is>
      </c>
      <c r="H256" s="2" t="n">
        <v>1</v>
      </c>
      <c r="I256" s="2" t="inlineStr">
        <is>
          <t>yes</t>
        </is>
      </c>
      <c r="J256" s="2" t="inlineStr">
        <is>
          <t>yes</t>
        </is>
      </c>
      <c r="K256" s="2" t="inlineStr">
        <is>
          <t>https://docs.python.org/3/tutorial/controlflow.html</t>
        </is>
      </c>
      <c r="L256" s="2" t="inlineStr">
        <is>
          <t>4. More Control Flow Tools ¶</t>
        </is>
      </c>
      <c r="M256" s="2" t="inlineStr">
        <is>
          <t>4.6. pass Statements ¶
The pass statement does nothing. It can be used when a statement is
required syntactically but the program requires no action. For example:
&gt;&gt;&gt; while True:
...     pass  # Busy-wait for keyboard interrupt (Ctrl+C)
...
This i</t>
        </is>
      </c>
    </row>
    <row r="257">
      <c r="A257" s="2" t="inlineStr">
        <is>
          <t>A1</t>
        </is>
      </c>
      <c r="B257" s="2" t="inlineStr">
        <is>
          <t>W1</t>
        </is>
      </c>
      <c r="C257" s="2" t="inlineStr">
        <is>
          <t>w1-q6</t>
        </is>
      </c>
      <c r="D257" s="2" t="inlineStr">
        <is>
          <t>What does the list index() method return?</t>
        </is>
      </c>
      <c r="E257" s="2" t="inlineStr">
        <is>
          <t>list</t>
        </is>
      </c>
      <c r="F257" s="2" t="inlineStr">
        <is>
          <t>zero-based index of the first occurrence</t>
        </is>
      </c>
      <c r="G257" s="2" t="inlineStr">
        <is>
          <t>A1</t>
        </is>
      </c>
      <c r="H257" s="2" t="n">
        <v>3</v>
      </c>
      <c r="I257" s="2" t="inlineStr">
        <is>
          <t>no</t>
        </is>
      </c>
      <c r="J257" s="2" t="inlineStr">
        <is>
          <t>yes</t>
        </is>
      </c>
      <c r="K257" s="2" t="inlineStr">
        <is>
          <t>https://developer.mozilla.org/en-US/docs/Web/JavaScript/Reference/Global_Objects/Array</t>
        </is>
      </c>
      <c r="L257" s="2" t="inlineStr">
        <is>
          <t>Array &gt; Description &gt; Iterative methods</t>
        </is>
      </c>
      <c r="M257" s="2" t="inlineStr">
        <is>
          <t>Note the following:
Not all methods do the i in this test. The find, findIndex, findLast, and findLastIndex methods do not, but other methods do.
The length is memorized before the loop starts. This affects how insertions and deletions during itera</t>
        </is>
      </c>
    </row>
    <row r="258">
      <c r="A258" s="2" t="inlineStr">
        <is>
          <t>A1</t>
        </is>
      </c>
      <c r="B258" s="2" t="inlineStr">
        <is>
          <t>W1</t>
        </is>
      </c>
      <c r="C258" s="2" t="inlineStr">
        <is>
          <t>w1-q7</t>
        </is>
      </c>
      <c r="D258" s="2" t="inlineStr">
        <is>
          <t>What is the short name for formatted string literals?</t>
        </is>
      </c>
      <c r="E258" s="2" t="inlineStr">
        <is>
          <t>text</t>
        </is>
      </c>
      <c r="F258" s="2" t="inlineStr">
        <is>
          <t>also called f-strings</t>
        </is>
      </c>
      <c r="G258" s="2" t="inlineStr">
        <is>
          <t>A1</t>
        </is>
      </c>
      <c r="H258" s="2" t="n">
        <v>2</v>
      </c>
      <c r="I258" s="2" t="inlineStr">
        <is>
          <t>no</t>
        </is>
      </c>
      <c r="J258" s="2" t="inlineStr">
        <is>
          <t>yes</t>
        </is>
      </c>
      <c r="K258" s="2" t="inlineStr">
        <is>
          <t>https://docs.python.org/3/tutorial/inputoutput.html</t>
        </is>
      </c>
      <c r="L258" s="2" t="inlineStr">
        <is>
          <t>7. Input and Output ¶ &gt; 7.1. Fancier Output Formatting ¶ &gt; 7.1.1. Formatted String Literals ¶</t>
        </is>
      </c>
      <c r="M258" s="2" t="inlineStr">
        <is>
          <t>a minimum
number of characters wide.  This is useful for making columns line up.
&gt;&gt;&gt; table = {'Sjoerd': 4127, 'Jack': 4098, 'Dcab': 7678}
&gt;&gt;&gt; for name, phone in table.items():
...     print(f'{name:10} ==&gt; {phone:10d}')
...
Sjoerd     ==&gt;       4127</t>
        </is>
      </c>
    </row>
    <row r="259">
      <c r="A259" s="2" t="inlineStr">
        <is>
          <t>A1</t>
        </is>
      </c>
      <c r="B259" s="2" t="inlineStr">
        <is>
          <t>W1</t>
        </is>
      </c>
      <c r="C259" s="2" t="inlineStr">
        <is>
          <t>w1-q8</t>
        </is>
      </c>
      <c r="D259" s="2" t="inlineStr">
        <is>
          <t>On what date will Python 4.0 be released according to the tutorial?</t>
        </is>
      </c>
      <c r="E259" s="2" t="inlineStr">
        <is>
          <t>unanswerable</t>
        </is>
      </c>
      <c r="F259" s="2" t="inlineStr">
        <is>
          <t>(not in source)</t>
        </is>
      </c>
      <c r="G259" s="2" t="inlineStr">
        <is>
          <t>A1</t>
        </is>
      </c>
      <c r="H259" s="2" t="n"/>
      <c r="I259" s="2" t="inlineStr">
        <is>
          <t>n/a</t>
        </is>
      </c>
      <c r="J259" s="2" t="inlineStr">
        <is>
          <t>n/a</t>
        </is>
      </c>
      <c r="K259" s="2" t="inlineStr">
        <is>
          <t>https://en.wikipedia.org/wiki/Python_(programming_language)</t>
        </is>
      </c>
      <c r="L259" s="2" t="inlineStr">
        <is>
          <t>Python (programming language)</t>
        </is>
      </c>
      <c r="M259" s="2" t="inlineStr">
        <is>
          <t>Guido van Rossum began working on Python in the late 1980s as a successor to the ABC programming language. Python 3.0, released in 2008, was a major revision and not completely backward-compatible with earlier versions. Beginning with Python 3.5, cap</t>
        </is>
      </c>
    </row>
    <row r="260">
      <c r="A260" s="2" t="inlineStr">
        <is>
          <t>A1</t>
        </is>
      </c>
      <c r="B260" s="2" t="inlineStr">
        <is>
          <t>W2</t>
        </is>
      </c>
      <c r="C260" s="2" t="inlineStr">
        <is>
          <t>w2-q1</t>
        </is>
      </c>
      <c r="D260" s="2" t="inlineStr">
        <is>
          <t>What is the elevation of Mount Everest in metres?</t>
        </is>
      </c>
      <c r="E260" s="2" t="inlineStr">
        <is>
          <t>table</t>
        </is>
      </c>
      <c r="F260" s="2" t="inlineStr">
        <is>
          <t>8,848.86 m</t>
        </is>
      </c>
      <c r="G260" s="2" t="inlineStr">
        <is>
          <t>A1</t>
        </is>
      </c>
      <c r="H260" s="2" t="n">
        <v>2</v>
      </c>
      <c r="I260" s="2" t="inlineStr">
        <is>
          <t>no</t>
        </is>
      </c>
      <c r="J260" s="2" t="inlineStr">
        <is>
          <t>yes</t>
        </is>
      </c>
      <c r="K260" s="2" t="inlineStr">
        <is>
          <t>https://en.wikipedia.org/wiki/Mount_Everest</t>
        </is>
      </c>
      <c r="L260" s="2" t="inlineStr">
        <is>
          <t>Mount Everest &gt; Surveys</t>
        </is>
      </c>
      <c r="M260" s="2" t="inlineStr">
        <is>
          <t>21st century
On 9 October 2005, after several months of measurement and calculation, the Chinese Academy of Sciences and State Bureau of Surveying and Mapping announced the height of Everest as 8,844.43 m (29,017.16 ft) with accuracy of ±0.21 m (8.3</t>
        </is>
      </c>
    </row>
    <row r="261">
      <c r="A261" s="2" t="inlineStr">
        <is>
          <t>A1</t>
        </is>
      </c>
      <c r="B261" s="2" t="inlineStr">
        <is>
          <t>W2</t>
        </is>
      </c>
      <c r="C261" s="2" t="inlineStr">
        <is>
          <t>w2-q2</t>
        </is>
      </c>
      <c r="D261" s="2" t="inlineStr">
        <is>
          <t>How many individual reefs make up the Great Barrier Reef?</t>
        </is>
      </c>
      <c r="E261" s="2" t="inlineStr">
        <is>
          <t>text</t>
        </is>
      </c>
      <c r="F261" s="2" t="inlineStr">
        <is>
          <t>over 2,900 individual reefs</t>
        </is>
      </c>
      <c r="G261" s="2" t="inlineStr">
        <is>
          <t>A1</t>
        </is>
      </c>
      <c r="H261" s="2" t="n">
        <v>1</v>
      </c>
      <c r="I261" s="2" t="inlineStr">
        <is>
          <t>yes</t>
        </is>
      </c>
      <c r="J261" s="2" t="inlineStr">
        <is>
          <t>yes</t>
        </is>
      </c>
      <c r="K261" s="2" t="inlineStr">
        <is>
          <t>https://en.wikipedia.org/wiki/Great_Barrier_Reef</t>
        </is>
      </c>
      <c r="L261" s="2" t="inlineStr">
        <is>
          <t>Great Barrier Reef</t>
        </is>
      </c>
      <c r="M261" s="2" t="inlineStr">
        <is>
          <t>The Great Barrier Reef is the world's largest coral reef system, composed of over 2,900 individual reefs and 900 islands stretching for over 2,300 kilometres (1,400 mi) over an area of approximately 344,400 square kilometres (133,000 mi2). The reef i</t>
        </is>
      </c>
    </row>
    <row r="262">
      <c r="A262" s="2" t="inlineStr">
        <is>
          <t>A1</t>
        </is>
      </c>
      <c r="B262" s="2" t="inlineStr">
        <is>
          <t>W2</t>
        </is>
      </c>
      <c r="C262" s="2" t="inlineStr">
        <is>
          <t>w2-q3</t>
        </is>
      </c>
      <c r="D262" s="2" t="inlineStr">
        <is>
          <t>What is the average discharge of the Amazon River?</t>
        </is>
      </c>
      <c r="E262" s="2" t="inlineStr">
        <is>
          <t>text</t>
        </is>
      </c>
      <c r="F262" s="2" t="inlineStr">
        <is>
          <t>215,000 to 230,000 cubic meters per second</t>
        </is>
      </c>
      <c r="G262" s="2" t="inlineStr">
        <is>
          <t>A1</t>
        </is>
      </c>
      <c r="H262" s="2" t="n">
        <v>2</v>
      </c>
      <c r="I262" s="2" t="inlineStr">
        <is>
          <t>no</t>
        </is>
      </c>
      <c r="J262" s="2" t="inlineStr">
        <is>
          <t>yes</t>
        </is>
      </c>
      <c r="K262" s="2" t="inlineStr">
        <is>
          <t>https://en.wikipedia.org/wiki/Amazon_River</t>
        </is>
      </c>
      <c r="L262" s="2" t="inlineStr">
        <is>
          <t>Amazon River</t>
        </is>
      </c>
      <c r="M262" s="2" t="inlineStr">
        <is>
          <t>Discharge
Average discharge at the estuary; Period from 2003 to 2015: 7,200 km3/a (230,000 m3/s)
| Year | (km3) | (m3/s) | Year | (km3) | (m3/s) |
| --- | --- | --- | --- | --- | --- |
| 2003 | 6,470 | 205,000 | 2010 | 6,464 | 205,000 |
| 2004 | 6,</t>
        </is>
      </c>
    </row>
    <row r="263">
      <c r="A263" s="2" t="inlineStr">
        <is>
          <t>A1</t>
        </is>
      </c>
      <c r="B263" s="2" t="inlineStr">
        <is>
          <t>W2</t>
        </is>
      </c>
      <c r="C263" s="2" t="inlineStr">
        <is>
          <t>w2-q4</t>
        </is>
      </c>
      <c r="D263" s="2" t="inlineStr">
        <is>
          <t>When was the euro introduced to world financial markets as an accounting currency?</t>
        </is>
      </c>
      <c r="E263" s="2" t="inlineStr">
        <is>
          <t>text</t>
        </is>
      </c>
      <c r="F263" s="2" t="inlineStr">
        <is>
          <t>1 january 1999</t>
        </is>
      </c>
      <c r="G263" s="2" t="inlineStr">
        <is>
          <t>A1</t>
        </is>
      </c>
      <c r="H263" s="2" t="n">
        <v>1</v>
      </c>
      <c r="I263" s="2" t="inlineStr">
        <is>
          <t>yes</t>
        </is>
      </c>
      <c r="J263" s="2" t="inlineStr">
        <is>
          <t>yes</t>
        </is>
      </c>
      <c r="K263" s="2" t="inlineStr">
        <is>
          <t>https://en.wikipedia.org/wiki/Euro</t>
        </is>
      </c>
      <c r="L263" s="2" t="inlineStr">
        <is>
          <t>Euro</t>
        </is>
      </c>
      <c r="M263" s="2" t="inlineStr">
        <is>
          <t xml:space="preserve"> the highest combined values of banknotes and coins in circulation in the world.
The name euro was officially adopted on 16 December 1995 in Madrid. The euro was introduced to world financial markets as an accounting currency on 1 January 1999, repl</t>
        </is>
      </c>
    </row>
    <row r="264">
      <c r="A264" s="2" t="inlineStr">
        <is>
          <t>A1</t>
        </is>
      </c>
      <c r="B264" s="2" t="inlineStr">
        <is>
          <t>W2</t>
        </is>
      </c>
      <c r="C264" s="2" t="inlineStr">
        <is>
          <t>w2-q5</t>
        </is>
      </c>
      <c r="D264" s="2" t="inlineStr">
        <is>
          <t>Who published the first generally accepted periodic table, and in what year?</t>
        </is>
      </c>
      <c r="E264" s="2" t="inlineStr">
        <is>
          <t>text</t>
        </is>
      </c>
      <c r="F264" s="2" t="inlineStr">
        <is>
          <t>dmitri mendeleev in 1869</t>
        </is>
      </c>
      <c r="G264" s="2" t="inlineStr">
        <is>
          <t>A1</t>
        </is>
      </c>
      <c r="H264" s="2" t="n">
        <v>1</v>
      </c>
      <c r="I264" s="2" t="inlineStr">
        <is>
          <t>yes</t>
        </is>
      </c>
      <c r="J264" s="2" t="inlineStr">
        <is>
          <t>yes</t>
        </is>
      </c>
      <c r="K264" s="2" t="inlineStr">
        <is>
          <t>https://en.wikipedia.org/wiki/Periodic_table</t>
        </is>
      </c>
      <c r="L264" s="2" t="inlineStr">
        <is>
          <t>Periodic table</t>
        </is>
      </c>
      <c r="M264" s="2" t="inlineStr">
        <is>
          <t>The first periodic table to become generally accepted was that of the Russian chemist Dmitri Mendeleev in 1869; he formulated the periodic law as a dependence of chemical properties on atomic mass. As not all elements were then known, there were gaps</t>
        </is>
      </c>
    </row>
    <row r="265">
      <c r="A265" s="2" t="inlineStr">
        <is>
          <t>A1</t>
        </is>
      </c>
      <c r="B265" s="2" t="inlineStr">
        <is>
          <t>W2</t>
        </is>
      </c>
      <c r="C265" s="2" t="inlineStr">
        <is>
          <t>w2-q6</t>
        </is>
      </c>
      <c r="D265" s="2" t="inlineStr">
        <is>
          <t>What is the Moon's average distance from Earth?</t>
        </is>
      </c>
      <c r="E265" s="2" t="inlineStr">
        <is>
          <t>text</t>
        </is>
      </c>
      <c r="F265" s="2" t="inlineStr">
        <is>
          <t>378,000 kilometers</t>
        </is>
      </c>
      <c r="G265" s="2" t="inlineStr">
        <is>
          <t>A1</t>
        </is>
      </c>
      <c r="H265" s="2" t="n">
        <v>3</v>
      </c>
      <c r="I265" s="2" t="inlineStr">
        <is>
          <t>no</t>
        </is>
      </c>
      <c r="J265" s="2" t="inlineStr">
        <is>
          <t>yes</t>
        </is>
      </c>
      <c r="K265" s="2" t="inlineStr">
        <is>
          <t>https://en.wikipedia.org/wiki/Moon</t>
        </is>
      </c>
      <c r="L265" s="2" t="inlineStr">
        <is>
          <t>Moon &gt; Earth–Moon system &gt; Orbit</t>
        </is>
      </c>
      <c r="M265" s="2" t="inlineStr">
        <is>
          <t>arth, showing the Moon's far side when it is illuminated and the Moon's day-side
The semi-major axis of the geocentric lunar orbit, called the lunar distance, is approximately 385,000 km (239,000 mi), or 1.3 light-seconds, comparable to going around</t>
        </is>
      </c>
    </row>
    <row r="266">
      <c r="A266" s="2" t="inlineStr">
        <is>
          <t>A1</t>
        </is>
      </c>
      <c r="B266" s="2" t="inlineStr">
        <is>
          <t>W2</t>
        </is>
      </c>
      <c r="C266" s="2" t="inlineStr">
        <is>
          <t>w2-q7</t>
        </is>
      </c>
      <c r="D266" s="2" t="inlineStr">
        <is>
          <t>When was Python 3.0 released?</t>
        </is>
      </c>
      <c r="E266" s="2" t="inlineStr">
        <is>
          <t>text</t>
        </is>
      </c>
      <c r="F266" s="2" t="inlineStr">
        <is>
          <t>python 3.0, released in 2008</t>
        </is>
      </c>
      <c r="G266" s="2" t="inlineStr">
        <is>
          <t>A1</t>
        </is>
      </c>
      <c r="H266" s="2" t="n">
        <v>1</v>
      </c>
      <c r="I266" s="2" t="inlineStr">
        <is>
          <t>yes</t>
        </is>
      </c>
      <c r="J266" s="2" t="inlineStr">
        <is>
          <t>yes</t>
        </is>
      </c>
      <c r="K266" s="2" t="inlineStr">
        <is>
          <t>https://en.wikipedia.org/wiki/Python_(programming_language)</t>
        </is>
      </c>
      <c r="L266" s="2" t="inlineStr">
        <is>
          <t>Python (programming language)</t>
        </is>
      </c>
      <c r="M266" s="2" t="inlineStr">
        <is>
          <t>Guido van Rossum began working on Python in the late 1980s as a successor to the ABC programming language. Python 3.0, released in 2008, was a major revision and not completely backward-compatible with earlier versions. Beginning with Python 3.5, cap</t>
        </is>
      </c>
    </row>
    <row r="267">
      <c r="A267" s="2" t="inlineStr">
        <is>
          <t>A1</t>
        </is>
      </c>
      <c r="B267" s="2" t="inlineStr">
        <is>
          <t>W2</t>
        </is>
      </c>
      <c r="C267" s="2" t="inlineStr">
        <is>
          <t>w2-q8</t>
        </is>
      </c>
      <c r="D267" s="2" t="inlineStr">
        <is>
          <t>Who won the men's downhill at the 2030 Winter Olympics?</t>
        </is>
      </c>
      <c r="E267" s="2" t="inlineStr">
        <is>
          <t>unanswerable</t>
        </is>
      </c>
      <c r="F267" s="2" t="inlineStr">
        <is>
          <t>(not in source)</t>
        </is>
      </c>
      <c r="G267" s="2" t="inlineStr">
        <is>
          <t>A1</t>
        </is>
      </c>
      <c r="H267" s="2" t="n"/>
      <c r="I267" s="2" t="inlineStr">
        <is>
          <t>n/a</t>
        </is>
      </c>
      <c r="J267" s="2" t="inlineStr">
        <is>
          <t>n/a</t>
        </is>
      </c>
      <c r="K267" s="2" t="inlineStr">
        <is>
          <t>https://en.wikipedia.org/wiki/Mount_Everest</t>
        </is>
      </c>
      <c r="L267" s="2" t="inlineStr">
        <is>
          <t>Mount Everest</t>
        </is>
      </c>
      <c r="M267" s="2" t="inlineStr">
        <is>
          <t>Extreme sports
Mount Everest has been host to other winter sports and adventuring besides mountaineering, including snowboarding, skiing, paragliding, and BASE jumping.
Yuichiro Miura became the first man to ski down Everest in the 1970s. He descen</t>
        </is>
      </c>
    </row>
    <row r="268">
      <c r="A268" s="2" t="inlineStr">
        <is>
          <t>A1</t>
        </is>
      </c>
      <c r="B268" s="2" t="inlineStr">
        <is>
          <t>W3</t>
        </is>
      </c>
      <c r="C268" s="2" t="inlineStr">
        <is>
          <t>w3-q1</t>
        </is>
      </c>
      <c r="D268" s="2" t="inlineStr">
        <is>
          <t>What was the minimum hourly wage for workers under 18 from April 2024 to March 2025?</t>
        </is>
      </c>
      <c r="E268" s="2" t="inlineStr">
        <is>
          <t>table</t>
        </is>
      </c>
      <c r="F268" s="2" t="inlineStr">
        <is>
          <t>£6.40</t>
        </is>
      </c>
      <c r="G268" s="2" t="inlineStr">
        <is>
          <t>A1</t>
        </is>
      </c>
      <c r="H268" s="2" t="n">
        <v>1</v>
      </c>
      <c r="I268" s="2" t="inlineStr">
        <is>
          <t>yes</t>
        </is>
      </c>
      <c r="J268" s="2" t="inlineStr">
        <is>
          <t>yes</t>
        </is>
      </c>
      <c r="K268" s="2" t="inlineStr">
        <is>
          <t>https://www.gov.uk/national-minimum-wage-rates</t>
        </is>
      </c>
      <c r="L268" s="2" t="inlineStr">
        <is>
          <t>National Minimum Wage and National Living Wage rates &gt; Previous rates</t>
        </is>
      </c>
      <c r="M268" s="2" t="inlineStr">
        <is>
          <t xml:space="preserve">Rates between 1 April 2024 and 31 March 2026
Since 1 April 2024 the National Living Wage has been for those aged 21 and over.
|  | 21 and over | 18 to 20 | Under 18 | Apprentice |
| --- | --- | --- | --- | --- |
| April 2025 to March 2026 | £12.21 </t>
        </is>
      </c>
    </row>
    <row r="269">
      <c r="A269" s="2" t="inlineStr">
        <is>
          <t>A1</t>
        </is>
      </c>
      <c r="B269" s="2" t="inlineStr">
        <is>
          <t>W3</t>
        </is>
      </c>
      <c r="C269" s="2" t="inlineStr">
        <is>
          <t>w3-q2</t>
        </is>
      </c>
      <c r="D269" s="2" t="inlineStr">
        <is>
          <t>Which taxable income band does the 40% higher rate of Income Tax cover?</t>
        </is>
      </c>
      <c r="E269" s="2" t="inlineStr">
        <is>
          <t>table</t>
        </is>
      </c>
      <c r="F269" s="2" t="inlineStr">
        <is>
          <t>£50,271 to £125,140</t>
        </is>
      </c>
      <c r="G269" s="2" t="inlineStr">
        <is>
          <t>A1</t>
        </is>
      </c>
      <c r="H269" s="2" t="n">
        <v>1</v>
      </c>
      <c r="I269" s="2" t="inlineStr">
        <is>
          <t>yes</t>
        </is>
      </c>
      <c r="J269" s="2" t="inlineStr">
        <is>
          <t>yes</t>
        </is>
      </c>
      <c r="K269" s="2" t="inlineStr">
        <is>
          <t>https://www.gov.uk/income-tax-rates</t>
        </is>
      </c>
      <c r="L269" s="2" t="inlineStr">
        <is>
          <t>Current rates and allowances</t>
        </is>
      </c>
      <c r="M269" s="2" t="inlineStr">
        <is>
          <t xml:space="preserve">Income Tax rates and bands
The table shows the tax rates you pay in each band if you have a standard Personal Allowance of £12,570.
Income tax bands are different if you live in Scotland.
| Band | Taxable income | Tax rate |
| --- | --- | --- |
| </t>
        </is>
      </c>
    </row>
    <row r="270">
      <c r="A270" s="2" t="inlineStr">
        <is>
          <t>A1</t>
        </is>
      </c>
      <c r="B270" s="2" t="inlineStr">
        <is>
          <t>W3</t>
        </is>
      </c>
      <c r="C270" s="2" t="inlineStr">
        <is>
          <t>w3-q3</t>
        </is>
      </c>
      <c r="D270" s="2" t="inlineStr">
        <is>
          <t>How much Statutory Sick Pay can you get per week?</t>
        </is>
      </c>
      <c r="E270" s="2" t="inlineStr">
        <is>
          <t>text</t>
        </is>
      </c>
      <c r="F270" s="2" t="inlineStr">
        <is>
          <t>£123.25</t>
        </is>
      </c>
      <c r="G270" s="2" t="inlineStr">
        <is>
          <t>A1</t>
        </is>
      </c>
      <c r="H270" s="2" t="n">
        <v>1</v>
      </c>
      <c r="I270" s="2" t="inlineStr">
        <is>
          <t>yes</t>
        </is>
      </c>
      <c r="J270" s="2" t="inlineStr">
        <is>
          <t>yes</t>
        </is>
      </c>
      <c r="K270" s="2" t="inlineStr">
        <is>
          <t>https://www.gov.uk/statutory-sick-pay</t>
        </is>
      </c>
      <c r="L270" s="2" t="inlineStr"/>
      <c r="M270" s="2" t="inlineStr">
        <is>
          <t xml:space="preserve">Overview
You can get up to £123.25 per week Statutory Sick Pay (SSP) if you’re too ill to work. It’s paid by your employer for up to 28 weeks.
This guide is also available in Welsh (Cymraeg).
You cannot get less than the statutory amount. You can </t>
        </is>
      </c>
    </row>
    <row r="271">
      <c r="A271" s="2" t="inlineStr">
        <is>
          <t>A1</t>
        </is>
      </c>
      <c r="B271" s="2" t="inlineStr">
        <is>
          <t>W3</t>
        </is>
      </c>
      <c r="C271" s="2" t="inlineStr">
        <is>
          <t>w3-q4</t>
        </is>
      </c>
      <c r="D271" s="2" t="inlineStr">
        <is>
          <t>How many days of paid annual leave must a worker on a 5-day week receive?</t>
        </is>
      </c>
      <c r="E271" s="2" t="inlineStr">
        <is>
          <t>text</t>
        </is>
      </c>
      <c r="F271" s="2" t="inlineStr">
        <is>
          <t>at least 28 days</t>
        </is>
      </c>
      <c r="G271" s="2" t="inlineStr">
        <is>
          <t>A1</t>
        </is>
      </c>
      <c r="H271" s="2" t="n">
        <v>1</v>
      </c>
      <c r="I271" s="2" t="inlineStr">
        <is>
          <t>yes</t>
        </is>
      </c>
      <c r="J271" s="2" t="inlineStr">
        <is>
          <t>yes</t>
        </is>
      </c>
      <c r="K271" s="2" t="inlineStr">
        <is>
          <t>https://www.gov.uk/holiday-entitlement-rights</t>
        </is>
      </c>
      <c r="L271" s="2" t="inlineStr">
        <is>
          <t>Entitlement</t>
        </is>
      </c>
      <c r="M271" s="2" t="inlineStr">
        <is>
          <t>Statutory annual leave entitlement
Most workers who work a 5-day week must receive at least 28 days’ paid annual leave a year. This is the equivalent of 5.6 weeks of holiday.</t>
        </is>
      </c>
    </row>
    <row r="272">
      <c r="A272" s="2" t="inlineStr">
        <is>
          <t>A1</t>
        </is>
      </c>
      <c r="B272" s="2" t="inlineStr">
        <is>
          <t>W3</t>
        </is>
      </c>
      <c r="C272" s="2" t="inlineStr">
        <is>
          <t>w3-q5</t>
        </is>
      </c>
      <c r="D272" s="2" t="inlineStr">
        <is>
          <t>How long must you have worked for your employer to qualify for statutory redundancy pay?</t>
        </is>
      </c>
      <c r="E272" s="2" t="inlineStr">
        <is>
          <t>text</t>
        </is>
      </c>
      <c r="F272" s="2" t="inlineStr">
        <is>
          <t>at least 2 years</t>
        </is>
      </c>
      <c r="G272" s="2" t="inlineStr">
        <is>
          <t>A1</t>
        </is>
      </c>
      <c r="H272" s="2" t="n">
        <v>1</v>
      </c>
      <c r="I272" s="2" t="inlineStr">
        <is>
          <t>yes</t>
        </is>
      </c>
      <c r="J272" s="2" t="inlineStr">
        <is>
          <t>yes</t>
        </is>
      </c>
      <c r="K272" s="2" t="inlineStr">
        <is>
          <t>https://www.gov.uk/calculate-your-redundancy-pay</t>
        </is>
      </c>
      <c r="L272" s="2" t="inlineStr"/>
      <c r="M272" s="2" t="inlineStr">
        <is>
          <t>Calculate your statutory redundancy pay
Calculate how much statutory redundancy you can get. It’s based on age, weekly pay and number of years in the job.
Your weekly pay is the average you earned per week over the 12 weeks before the day you got y</t>
        </is>
      </c>
    </row>
    <row r="273">
      <c r="A273" s="2" t="inlineStr">
        <is>
          <t>A1</t>
        </is>
      </c>
      <c r="B273" s="2" t="inlineStr">
        <is>
          <t>W3</t>
        </is>
      </c>
      <c r="C273" s="2" t="inlineStr">
        <is>
          <t>w3-q6</t>
        </is>
      </c>
      <c r="D273" s="2" t="inlineStr">
        <is>
          <t>What is the first vehicle tax payment for a petrol car emitting 111 to 130g/km of CO2?</t>
        </is>
      </c>
      <c r="E273" s="2" t="inlineStr">
        <is>
          <t>table</t>
        </is>
      </c>
      <c r="F273" s="2" t="inlineStr">
        <is>
          <t>111 to 130g/km + £455</t>
        </is>
      </c>
      <c r="G273" s="2" t="inlineStr">
        <is>
          <t>A1</t>
        </is>
      </c>
      <c r="H273" s="2" t="n">
        <v>1</v>
      </c>
      <c r="I273" s="2" t="inlineStr">
        <is>
          <t>yes</t>
        </is>
      </c>
      <c r="J273" s="2" t="inlineStr">
        <is>
          <t>yes</t>
        </is>
      </c>
      <c r="K273" s="2" t="inlineStr">
        <is>
          <t>https://www.gov.uk/vehicle-tax-rate-tables</t>
        </is>
      </c>
      <c r="L273" s="2" t="inlineStr">
        <is>
          <t>Cars registered on or after 1 April 2017 &gt; First tax payment when you register the vehicle</t>
        </is>
      </c>
      <c r="M273" s="2" t="inlineStr">
        <is>
          <t>ions. You can ask your car’s manufacturer if your car meets the RDE2 standard.
| CO2 emissions | Diesel cars (TC49) that meet the RDE2 standard, petrol cars (TC48), Alternative fuel and zero emission cars | All other diesel cars (TC49) |
| --- | ---</t>
        </is>
      </c>
    </row>
    <row r="274">
      <c r="A274" s="2" t="inlineStr">
        <is>
          <t>A1</t>
        </is>
      </c>
      <c r="B274" s="2" t="inlineStr">
        <is>
          <t>W3</t>
        </is>
      </c>
      <c r="C274" s="2" t="inlineStr">
        <is>
          <t>w3-q7</t>
        </is>
      </c>
      <c r="D274" s="2" t="inlineStr">
        <is>
          <t>From when can an employee make a request for flexible working?</t>
        </is>
      </c>
      <c r="E274" s="2" t="inlineStr">
        <is>
          <t>text</t>
        </is>
      </c>
      <c r="F274" s="2" t="inlineStr">
        <is>
          <t>from their first day in a job</t>
        </is>
      </c>
      <c r="G274" s="2" t="inlineStr">
        <is>
          <t>A1</t>
        </is>
      </c>
      <c r="H274" s="2" t="n">
        <v>1</v>
      </c>
      <c r="I274" s="2" t="inlineStr">
        <is>
          <t>yes</t>
        </is>
      </c>
      <c r="J274" s="2" t="inlineStr">
        <is>
          <t>yes</t>
        </is>
      </c>
      <c r="K274" s="2" t="inlineStr">
        <is>
          <t>https://www.gov.uk/flexible-working</t>
        </is>
      </c>
      <c r="L274" s="2" t="inlineStr"/>
      <c r="M274" s="2" t="inlineStr">
        <is>
          <t>Overview
Flexible working is a way of working that suits an employee’s needs, for example having flexible start and finish times, or working from home.
Flexible working rules are different in Northern Ireland.
All employees have the legal right to</t>
        </is>
      </c>
    </row>
    <row r="275">
      <c r="A275" s="2" t="inlineStr">
        <is>
          <t>A1</t>
        </is>
      </c>
      <c r="B275" s="2" t="inlineStr">
        <is>
          <t>W3</t>
        </is>
      </c>
      <c r="C275" s="2" t="inlineStr">
        <is>
          <t>w3-q8</t>
        </is>
      </c>
      <c r="D275" s="2" t="inlineStr">
        <is>
          <t>What is the weekly rate of Statutory Paternity Pay?</t>
        </is>
      </c>
      <c r="E275" s="2" t="inlineStr">
        <is>
          <t>unanswerable</t>
        </is>
      </c>
      <c r="F275" s="2" t="inlineStr">
        <is>
          <t>(not in source)</t>
        </is>
      </c>
      <c r="G275" s="2" t="inlineStr">
        <is>
          <t>A1</t>
        </is>
      </c>
      <c r="H275" s="2" t="n"/>
      <c r="I275" s="2" t="inlineStr">
        <is>
          <t>n/a</t>
        </is>
      </c>
      <c r="J275" s="2" t="inlineStr">
        <is>
          <t>n/a</t>
        </is>
      </c>
      <c r="K275" s="2" t="inlineStr">
        <is>
          <t>https://www.gov.uk/statutory-sick-pay</t>
        </is>
      </c>
      <c r="L275" s="2" t="inlineStr"/>
      <c r="M275" s="2" t="inlineStr">
        <is>
          <t>Statutory Sick Pay (SSP)</t>
        </is>
      </c>
    </row>
    <row r="276">
      <c r="A276" s="2" t="inlineStr">
        <is>
          <t>A1</t>
        </is>
      </c>
      <c r="B276" s="2" t="inlineStr">
        <is>
          <t>W4</t>
        </is>
      </c>
      <c r="C276" s="2" t="inlineStr">
        <is>
          <t>w4-q1</t>
        </is>
      </c>
      <c r="D276" s="2" t="inlineStr">
        <is>
          <t>What does HTTP status 418 I'm a teapot mean?</t>
        </is>
      </c>
      <c r="E276" s="2" t="inlineStr">
        <is>
          <t>list</t>
        </is>
      </c>
      <c r="F276" s="2" t="inlineStr">
        <is>
          <t>brew coffee with a teapot</t>
        </is>
      </c>
      <c r="G276" s="2" t="inlineStr">
        <is>
          <t>A1</t>
        </is>
      </c>
      <c r="H276" s="2" t="n">
        <v>1</v>
      </c>
      <c r="I276" s="2" t="inlineStr">
        <is>
          <t>yes</t>
        </is>
      </c>
      <c r="J276" s="2" t="inlineStr">
        <is>
          <t>yes</t>
        </is>
      </c>
      <c r="K276" s="2" t="inlineStr">
        <is>
          <t>https://developer.mozilla.org/en-US/docs/Web/HTTP/Reference/Status</t>
        </is>
      </c>
      <c r="L276" s="2" t="inlineStr">
        <is>
          <t>HTTP response status codes &gt; Client error responses</t>
        </is>
      </c>
      <c r="M276" s="2" t="inlineStr">
        <is>
          <t>ted data is not supported by the server, so the server is rejecting the request.
416 Range Not Satisfiable
The ranges specified by the Range header field in the request cannot be fulfilled.
It's possible that the range is outside the size of the ta</t>
        </is>
      </c>
    </row>
    <row r="277">
      <c r="A277" s="2" t="inlineStr">
        <is>
          <t>A1</t>
        </is>
      </c>
      <c r="B277" s="2" t="inlineStr">
        <is>
          <t>W4</t>
        </is>
      </c>
      <c r="C277" s="2" t="inlineStr">
        <is>
          <t>w4-q2</t>
        </is>
      </c>
      <c r="D277" s="2" t="inlineStr">
        <is>
          <t>What does HTTP status 429 mean?</t>
        </is>
      </c>
      <c r="E277" s="2" t="inlineStr">
        <is>
          <t>list</t>
        </is>
      </c>
      <c r="F277" s="2" t="inlineStr">
        <is>
          <t>too many requests in a given amount of time</t>
        </is>
      </c>
      <c r="G277" s="2" t="inlineStr">
        <is>
          <t>A1</t>
        </is>
      </c>
      <c r="H277" s="2" t="n">
        <v>1</v>
      </c>
      <c r="I277" s="2" t="inlineStr">
        <is>
          <t>yes</t>
        </is>
      </c>
      <c r="J277" s="2" t="inlineStr">
        <is>
          <t>yes</t>
        </is>
      </c>
      <c r="K277" s="2" t="inlineStr">
        <is>
          <t>https://developer.mozilla.org/en-US/docs/Web/HTTP/Reference/Status</t>
        </is>
      </c>
      <c r="L277" s="2" t="inlineStr">
        <is>
          <t>HTTP response status codes &gt; Client error responses</t>
        </is>
      </c>
      <c r="M277" s="2" t="inlineStr">
        <is>
          <t xml:space="preserve"> sends an Upgrade header in a 426 response to indicate the required protocol(s).
428 Precondition Required
The origin server requires the request to be conditional.
This response is intended to prevent the 'lost update' problem, where a client GETs</t>
        </is>
      </c>
    </row>
    <row r="278">
      <c r="A278" s="2" t="inlineStr">
        <is>
          <t>A1</t>
        </is>
      </c>
      <c r="B278" s="2" t="inlineStr">
        <is>
          <t>W4</t>
        </is>
      </c>
      <c r="C278" s="2" t="inlineStr">
        <is>
          <t>w4-q3</t>
        </is>
      </c>
      <c r="D278" s="2" t="inlineStr">
        <is>
          <t>How must multiple Cache-Control directives be separated?</t>
        </is>
      </c>
      <c r="E278" s="2" t="inlineStr">
        <is>
          <t>text</t>
        </is>
      </c>
      <c r="F278" s="2" t="inlineStr">
        <is>
          <t>must be comma-separated</t>
        </is>
      </c>
      <c r="G278" s="2" t="inlineStr">
        <is>
          <t>A1</t>
        </is>
      </c>
      <c r="H278" s="2" t="n">
        <v>1</v>
      </c>
      <c r="I278" s="2" t="inlineStr">
        <is>
          <t>yes</t>
        </is>
      </c>
      <c r="J278" s="2" t="inlineStr">
        <is>
          <t>yes</t>
        </is>
      </c>
      <c r="K278" s="2" t="inlineStr">
        <is>
          <t>https://developer.mozilla.org/en-US/docs/Web/HTTP/Reference/Headers/Cache-Control</t>
        </is>
      </c>
      <c r="L278" s="2" t="inlineStr">
        <is>
          <t>Cache-Control header</t>
        </is>
      </c>
      <c r="M278" s="2" t="inlineStr">
        <is>
          <t>Syntax
Cache-Control: &lt;directive&gt;, &lt;directive&gt;, ...
Cache directives follow these rules:
Caching directives are case-insensitive. However, lowercase is recommended because some implementations do not recognize uppercase directives.
Multiple direc</t>
        </is>
      </c>
    </row>
    <row r="279">
      <c r="A279" s="2" t="inlineStr">
        <is>
          <t>A1</t>
        </is>
      </c>
      <c r="B279" s="2" t="inlineStr">
        <is>
          <t>W4</t>
        </is>
      </c>
      <c r="C279" s="2" t="inlineStr">
        <is>
          <t>w4-q4</t>
        </is>
      </c>
      <c r="D279" s="2" t="inlineStr">
        <is>
          <t>What is a closure in JavaScript?</t>
        </is>
      </c>
      <c r="E279" s="2" t="inlineStr">
        <is>
          <t>text</t>
        </is>
      </c>
      <c r="F279" s="2" t="inlineStr">
        <is>
          <t>combination of a function bundled together</t>
        </is>
      </c>
      <c r="G279" s="2" t="inlineStr">
        <is>
          <t>A1</t>
        </is>
      </c>
      <c r="H279" s="2" t="n">
        <v>1</v>
      </c>
      <c r="I279" s="2" t="inlineStr">
        <is>
          <t>yes</t>
        </is>
      </c>
      <c r="J279" s="2" t="inlineStr">
        <is>
          <t>yes</t>
        </is>
      </c>
      <c r="K279" s="2" t="inlineStr">
        <is>
          <t>https://developer.mozilla.org/en-US/docs/Web/JavaScript/Guide/Closures</t>
        </is>
      </c>
      <c r="L279" s="2" t="inlineStr"/>
      <c r="M279" s="2" t="inlineStr">
        <is>
          <t>Closures
A closure is the combination of a function bundled together (enclosed) with references to its surrounding state (the lexical environment). In other words, a closure gives a function access to its outer scope. In JavaScript, closures are cre</t>
        </is>
      </c>
    </row>
    <row r="280">
      <c r="A280" s="2" t="inlineStr">
        <is>
          <t>A1</t>
        </is>
      </c>
      <c r="B280" s="2" t="inlineStr">
        <is>
          <t>W4</t>
        </is>
      </c>
      <c r="C280" s="2" t="inlineStr">
        <is>
          <t>w4-q5</t>
        </is>
      </c>
      <c r="D280" s="2" t="inlineStr">
        <is>
          <t>How many mandatory arguments does the fetch() method take?</t>
        </is>
      </c>
      <c r="E280" s="2" t="inlineStr">
        <is>
          <t>text</t>
        </is>
      </c>
      <c r="F280" s="2" t="inlineStr">
        <is>
          <t>one mandatory argument</t>
        </is>
      </c>
      <c r="G280" s="2" t="inlineStr">
        <is>
          <t>A1</t>
        </is>
      </c>
      <c r="H280" s="2" t="n">
        <v>2</v>
      </c>
      <c r="I280" s="2" t="inlineStr">
        <is>
          <t>no</t>
        </is>
      </c>
      <c r="J280" s="2" t="inlineStr">
        <is>
          <t>yes</t>
        </is>
      </c>
      <c r="K280" s="2" t="inlineStr">
        <is>
          <t>https://developer.mozilla.org/en-US/docs/Web/API/Fetch_API</t>
        </is>
      </c>
      <c r="L280" s="2" t="inlineStr">
        <is>
          <t>Fetch API &gt; Specifications</t>
        </is>
      </c>
      <c r="M280" s="2" t="inlineStr">
        <is>
          <t>| Specification |
| --- |
| Fetch # fetch-method |
| Fetch # deferred-fetch |</t>
        </is>
      </c>
    </row>
    <row r="281">
      <c r="A281" s="2" t="inlineStr">
        <is>
          <t>A1</t>
        </is>
      </c>
      <c r="B281" s="2" t="inlineStr">
        <is>
          <t>W4</t>
        </is>
      </c>
      <c r="C281" s="2" t="inlineStr">
        <is>
          <t>w4-q6</t>
        </is>
      </c>
      <c r="D281" s="2" t="inlineStr">
        <is>
          <t>What does the HTTP QUERY method do?</t>
        </is>
      </c>
      <c r="E281" s="2" t="inlineStr">
        <is>
          <t>text</t>
        </is>
      </c>
      <c r="F281" s="2" t="inlineStr">
        <is>
          <t>the query method initiates a server-side query</t>
        </is>
      </c>
      <c r="G281" s="2" t="inlineStr">
        <is>
          <t>A1</t>
        </is>
      </c>
      <c r="H281" s="2" t="n">
        <v>2</v>
      </c>
      <c r="I281" s="2" t="inlineStr">
        <is>
          <t>no</t>
        </is>
      </c>
      <c r="J281" s="2" t="inlineStr">
        <is>
          <t>yes</t>
        </is>
      </c>
      <c r="K281" s="2" t="inlineStr">
        <is>
          <t>https://developer.mozilla.org/en-US/docs/Web/HTTP/Reference/Methods</t>
        </is>
      </c>
      <c r="L281" s="2" t="inlineStr"/>
      <c r="M281" s="2" t="inlineStr">
        <is>
          <t>HTTP request methods
HTTP defines a set of request methods to indicate the purpose of the request and what is expected if the request is successful.
Although they can also be nouns, these request methods are sometimes referred to as HTTP verbs.
Each</t>
        </is>
      </c>
    </row>
    <row r="282">
      <c r="A282" s="2" t="inlineStr">
        <is>
          <t>A1</t>
        </is>
      </c>
      <c r="B282" s="2" t="inlineStr">
        <is>
          <t>W4</t>
        </is>
      </c>
      <c r="C282" s="2" t="inlineStr">
        <is>
          <t>w4-q7</t>
        </is>
      </c>
      <c r="D282" s="2" t="inlineStr">
        <is>
          <t>In MDN's CORS preflight example, what value is sent in the Access-Control-Max-Age header?</t>
        </is>
      </c>
      <c r="E282" s="2" t="inlineStr">
        <is>
          <t>code</t>
        </is>
      </c>
      <c r="F282" s="2" t="inlineStr">
        <is>
          <t>access-control-max-age: 86400</t>
        </is>
      </c>
      <c r="G282" s="2" t="inlineStr">
        <is>
          <t>A1</t>
        </is>
      </c>
      <c r="H282" s="2" t="n"/>
      <c r="I282" s="2" t="inlineStr">
        <is>
          <t>no</t>
        </is>
      </c>
      <c r="J282" s="2" t="inlineStr">
        <is>
          <t>no</t>
        </is>
      </c>
      <c r="K282" s="2" t="inlineStr">
        <is>
          <t>https://developer.mozilla.org/en-US/docs/Web/HTTP/Guides/CORS</t>
        </is>
      </c>
      <c r="L282" s="2" t="inlineStr">
        <is>
          <t>Cross-Origin Resource Sharing (CORS) &gt; The HTTP response headers</t>
        </is>
      </c>
      <c r="M282" s="2" t="inlineStr">
        <is>
          <t xml:space="preserve">Access-Control-Max-Age
The Access-Control-Max-Age header indicates how long the results of a preflight request can be cached. For an example of a preflight request, see the above examples.
Access-Control-Max-Age: &lt;delta-seconds&gt;
The delta-seconds </t>
        </is>
      </c>
    </row>
    <row r="283">
      <c r="A283" s="2" t="inlineStr">
        <is>
          <t>A1</t>
        </is>
      </c>
      <c r="B283" s="2" t="inlineStr">
        <is>
          <t>W4</t>
        </is>
      </c>
      <c r="C283" s="2" t="inlineStr">
        <is>
          <t>w4-q8</t>
        </is>
      </c>
      <c r="D283" s="2" t="inlineStr">
        <is>
          <t>Which HTTP status code means Payment Accepted?</t>
        </is>
      </c>
      <c r="E283" s="2" t="inlineStr">
        <is>
          <t>unanswerable</t>
        </is>
      </c>
      <c r="F283" s="2" t="inlineStr">
        <is>
          <t>(not in source)</t>
        </is>
      </c>
      <c r="G283" s="2" t="inlineStr">
        <is>
          <t>A1</t>
        </is>
      </c>
      <c r="H283" s="2" t="n"/>
      <c r="I283" s="2" t="inlineStr">
        <is>
          <t>n/a</t>
        </is>
      </c>
      <c r="J283" s="2" t="inlineStr">
        <is>
          <t>n/a</t>
        </is>
      </c>
      <c r="K283" s="2" t="inlineStr">
        <is>
          <t>https://developer.mozilla.org/en-US/docs/Web/HTTP/Reference/Status</t>
        </is>
      </c>
      <c r="L283" s="2" t="inlineStr">
        <is>
          <t>HTTP response status codes &gt; Successful responses</t>
        </is>
      </c>
      <c r="M283" s="2" t="inlineStr">
        <is>
          <t xml:space="preserve">. This is typically the response sent after POST requests, or some PUT requests.
202 Accepted
The request has been received but not yet acted upon.
It is noncommittal, since there is no way in HTTP to later send an asynchronous response indicating </t>
        </is>
      </c>
    </row>
    <row r="284">
      <c r="A284" s="2" t="inlineStr">
        <is>
          <t>A1</t>
        </is>
      </c>
      <c r="B284" s="2" t="inlineStr">
        <is>
          <t>F1</t>
        </is>
      </c>
      <c r="C284" s="2" t="inlineStr">
        <is>
          <t>f1-q1</t>
        </is>
      </c>
      <c r="D284" s="2" t="inlineStr">
        <is>
          <t>What are the layer, hidden size and attention head settings of BERT-base?</t>
        </is>
      </c>
      <c r="E284" s="2" t="inlineStr">
        <is>
          <t>text</t>
        </is>
      </c>
      <c r="F284" s="2" t="inlineStr">
        <is>
          <t>l=12, h=768, a=12</t>
        </is>
      </c>
      <c r="G284" s="2" t="inlineStr">
        <is>
          <t>A1</t>
        </is>
      </c>
      <c r="H284" s="2" t="n">
        <v>2</v>
      </c>
      <c r="I284" s="2" t="inlineStr">
        <is>
          <t>no</t>
        </is>
      </c>
      <c r="J284" s="2" t="inlineStr">
        <is>
          <t>yes</t>
        </is>
      </c>
      <c r="K284" s="2" t="inlineStr">
        <is>
          <t>acl-n19-1423-bert.pdf</t>
        </is>
      </c>
      <c r="L284" s="2" t="inlineStr">
        <is>
          <t>Language Understanding &gt; 5 Ablation Studies &gt; 5.3 Feature-based Approach with BERT</t>
        </is>
      </c>
      <c r="M284" s="2" t="inlineStr">
        <is>
          <t xml:space="preserve">.99 84.4 86.7 92.9 12 1024 16 3.54 85.7 86.9 93.3 24 1024 16 3.23 86.6 87.8 93.7
Table 6:
Ablation over BERT model size. #L = the
number of layers; #H = hidden size; #A = number of attention heads. “LM (ppl)” is the masked LM perplexity
of held-out </t>
        </is>
      </c>
    </row>
    <row r="285">
      <c r="A285" s="2" t="inlineStr">
        <is>
          <t>A1</t>
        </is>
      </c>
      <c r="B285" s="2" t="inlineStr">
        <is>
          <t>F1</t>
        </is>
      </c>
      <c r="C285" s="2" t="inlineStr">
        <is>
          <t>f1-q2</t>
        </is>
      </c>
      <c r="D285" s="2" t="inlineStr">
        <is>
          <t>What percentage of WordPiece tokens does BERT mask during pre-training?</t>
        </is>
      </c>
      <c r="E285" s="2" t="inlineStr">
        <is>
          <t>text</t>
        </is>
      </c>
      <c r="F285" s="2" t="inlineStr">
        <is>
          <t>15% of all wordpiece</t>
        </is>
      </c>
      <c r="G285" s="2" t="inlineStr">
        <is>
          <t>A1</t>
        </is>
      </c>
      <c r="H285" s="2" t="n">
        <v>2</v>
      </c>
      <c r="I285" s="2" t="inlineStr">
        <is>
          <t>no</t>
        </is>
      </c>
      <c r="J285" s="2" t="inlineStr">
        <is>
          <t>yes</t>
        </is>
      </c>
      <c r="K285" s="2" t="inlineStr">
        <is>
          <t>acl-n19-1423-bert.pdf</t>
        </is>
      </c>
      <c r="L285" s="2" t="inlineStr">
        <is>
          <t>Language Understanding &gt; 3 BERT &gt; 3.1 Pre-training BERT</t>
        </is>
      </c>
      <c r="M285" s="2" t="inlineStr">
        <is>
          <t>), we only predict the masked words rather than reconstructing the entire input.
Although this allows us to obtain a bidirectional pre-trained model, a downside is that we are creating a mismatch between pre-training and ﬁne-tuning, since the [MASK]</t>
        </is>
      </c>
    </row>
    <row r="286">
      <c r="A286" s="2" t="inlineStr">
        <is>
          <t>A1</t>
        </is>
      </c>
      <c r="B286" s="2" t="inlineStr">
        <is>
          <t>F1</t>
        </is>
      </c>
      <c r="C286" s="2" t="inlineStr">
        <is>
          <t>f1-q3</t>
        </is>
      </c>
      <c r="D286" s="2" t="inlineStr">
        <is>
          <t>What GLUE score did BERT reach?</t>
        </is>
      </c>
      <c r="E286" s="2" t="inlineStr">
        <is>
          <t>text</t>
        </is>
      </c>
      <c r="F286" s="2" t="inlineStr">
        <is>
          <t>glue score to 80.5%</t>
        </is>
      </c>
      <c r="G286" s="2" t="inlineStr">
        <is>
          <t>A1</t>
        </is>
      </c>
      <c r="H286" s="2" t="n">
        <v>5</v>
      </c>
      <c r="I286" s="2" t="inlineStr">
        <is>
          <t>no</t>
        </is>
      </c>
      <c r="J286" s="2" t="inlineStr">
        <is>
          <t>yes</t>
        </is>
      </c>
      <c r="K286" s="2" t="inlineStr">
        <is>
          <t>acl-n19-1423-bert.pdf</t>
        </is>
      </c>
      <c r="L286" s="2" t="inlineStr">
        <is>
          <t>Language Understanding &gt; 4 Experiments &gt; 4.1 GLUE</t>
        </is>
      </c>
      <c r="M286" s="2" t="inlineStr">
        <is>
          <t xml:space="preserve"> 85.8 88.9 66.4 79.6 BERTLARGE 86.7/85.9 72.1 92.7 94.9 60.5 86.5 89.3 70.1 82.1
Table 1: GLUE Test results, scored by the evaluation server (https://gluebenchmark.com/leaderboard).
The number below each task denotes the number of training examples.</t>
        </is>
      </c>
    </row>
    <row r="287">
      <c r="A287" s="2" t="inlineStr">
        <is>
          <t>A1</t>
        </is>
      </c>
      <c r="B287" s="2" t="inlineStr">
        <is>
          <t>F1</t>
        </is>
      </c>
      <c r="C287" s="2" t="inlineStr">
        <is>
          <t>f1-q4</t>
        </is>
      </c>
      <c r="D287" s="2" t="inlineStr">
        <is>
          <t>Which corpora were used to pre-train BERT?</t>
        </is>
      </c>
      <c r="E287" s="2" t="inlineStr">
        <is>
          <t>text</t>
        </is>
      </c>
      <c r="F287" s="2" t="inlineStr">
        <is>
          <t>bookscorpus (800m words)</t>
        </is>
      </c>
      <c r="G287" s="2" t="inlineStr">
        <is>
          <t>A1</t>
        </is>
      </c>
      <c r="H287" s="2" t="n">
        <v>1</v>
      </c>
      <c r="I287" s="2" t="inlineStr">
        <is>
          <t>yes</t>
        </is>
      </c>
      <c r="J287" s="2" t="inlineStr">
        <is>
          <t>yes</t>
        </is>
      </c>
      <c r="K287" s="2" t="inlineStr">
        <is>
          <t>acl-n19-1423-bert.pdf</t>
        </is>
      </c>
      <c r="L287" s="2" t="inlineStr">
        <is>
          <t>Language Understanding &gt; 3 BERT &gt; 3.1 Pre-training BERT</t>
        </is>
      </c>
      <c r="M287" s="2" t="inlineStr">
        <is>
          <t xml:space="preserve">ks, where BERT transfers all parameters to initialize end-task model parameters.
Pre-training data The pre-training procedure largely follows the existing literature on language model pre-training. For the pre-training corpus we use the BooksCorpus </t>
        </is>
      </c>
    </row>
    <row r="288">
      <c r="A288" s="2" t="inlineStr">
        <is>
          <t>A1</t>
        </is>
      </c>
      <c r="B288" s="2" t="inlineStr">
        <is>
          <t>F1</t>
        </is>
      </c>
      <c r="C288" s="2" t="inlineStr">
        <is>
          <t>f1-q5</t>
        </is>
      </c>
      <c r="D288" s="2" t="inlineStr">
        <is>
          <t>What SQuAD v1.1 Test F1 did BERT achieve?</t>
        </is>
      </c>
      <c r="E288" s="2" t="inlineStr">
        <is>
          <t>text</t>
        </is>
      </c>
      <c r="F288" s="2" t="inlineStr">
        <is>
          <t>93.2</t>
        </is>
      </c>
      <c r="G288" s="2" t="inlineStr">
        <is>
          <t>A1</t>
        </is>
      </c>
      <c r="H288" s="2" t="n">
        <v>2</v>
      </c>
      <c r="I288" s="2" t="inlineStr">
        <is>
          <t>no</t>
        </is>
      </c>
      <c r="J288" s="2" t="inlineStr">
        <is>
          <t>yes</t>
        </is>
      </c>
      <c r="K288" s="2" t="inlineStr">
        <is>
          <t>acl-n19-1423-bert.pdf</t>
        </is>
      </c>
      <c r="L288" s="2" t="inlineStr">
        <is>
          <t>Language Understanding &gt; 4 Experiments &gt; 4.2 SQuAD v1.1</t>
        </is>
      </c>
      <c r="M288" s="2" t="inlineStr">
        <is>
          <t xml:space="preserve">rst ﬁne-tuning on TriviaQA (Joshi
et al., 2017) befor ﬁne-tuning on SQuAD.
Our best performing system outperforms the top leaderboard system by +1.5 F1 in ensembling and +1.3 F1 as a single system. In fact, our single BERT model outperforms the top </t>
        </is>
      </c>
    </row>
    <row r="289">
      <c r="A289" s="2" t="inlineStr">
        <is>
          <t>A1</t>
        </is>
      </c>
      <c r="B289" s="2" t="inlineStr">
        <is>
          <t>F1</t>
        </is>
      </c>
      <c r="C289" s="2" t="inlineStr">
        <is>
          <t>f1-q6</t>
        </is>
      </c>
      <c r="D289" s="2" t="inlineStr">
        <is>
          <t>How many total parameters does BERT-large have?</t>
        </is>
      </c>
      <c r="E289" s="2" t="inlineStr">
        <is>
          <t>text</t>
        </is>
      </c>
      <c r="F289" s="2" t="inlineStr">
        <is>
          <t>total parameters=340m</t>
        </is>
      </c>
      <c r="G289" s="2" t="inlineStr">
        <is>
          <t>A1</t>
        </is>
      </c>
      <c r="H289" s="2" t="n">
        <v>2</v>
      </c>
      <c r="I289" s="2" t="inlineStr">
        <is>
          <t>no</t>
        </is>
      </c>
      <c r="J289" s="2" t="inlineStr">
        <is>
          <t>yes</t>
        </is>
      </c>
      <c r="K289" s="2" t="inlineStr">
        <is>
          <t>acl-n19-1423-bert.pdf</t>
        </is>
      </c>
      <c r="L289" s="2" t="inlineStr">
        <is>
          <t>Language Understanding &gt; 5 Ablation Studies &gt; 5.2 Effect of Model Size</t>
        </is>
      </c>
      <c r="M289" s="2" t="inlineStr">
        <is>
          <t>e literature is (L=64, H=512, A=2) with 235M parameters (Al-Rfou et al., 2018). 
By contrast, BERTBASE contains 110M parameters and BERTLARGE contains 340M parameters.
It has long been known that increasing the model size will lead to continual imp</t>
        </is>
      </c>
    </row>
    <row r="290">
      <c r="A290" s="2" t="inlineStr">
        <is>
          <t>A1</t>
        </is>
      </c>
      <c r="B290" s="2" t="inlineStr">
        <is>
          <t>F1</t>
        </is>
      </c>
      <c r="C290" s="2" t="inlineStr">
        <is>
          <t>f1-q7</t>
        </is>
      </c>
      <c r="D290" s="2" t="inlineStr">
        <is>
          <t>How many GPUs were used to train GPT-4?</t>
        </is>
      </c>
      <c r="E290" s="2" t="inlineStr">
        <is>
          <t>unanswerable</t>
        </is>
      </c>
      <c r="F290" s="2" t="inlineStr">
        <is>
          <t>(not in source)</t>
        </is>
      </c>
      <c r="G290" s="2" t="inlineStr">
        <is>
          <t>A1</t>
        </is>
      </c>
      <c r="H290" s="2" t="n"/>
      <c r="I290" s="2" t="inlineStr">
        <is>
          <t>n/a</t>
        </is>
      </c>
      <c r="J290" s="2" t="inlineStr">
        <is>
          <t>n/a</t>
        </is>
      </c>
      <c r="K290" s="2" t="inlineStr">
        <is>
          <t>acl-n19-1423-bert.pdf</t>
        </is>
      </c>
      <c r="L290" s="2" t="inlineStr">
        <is>
          <t>Language Understanding &gt; 5 Ablation Studies &gt; 5.2 Effect of Model Size</t>
        </is>
      </c>
      <c r="M290" s="2" t="inlineStr">
        <is>
          <t>Results on selected GLUE tasks are shown in Table 6. In this table, we report the average Dev Set accuracy from 5 random restarts of ﬁne-tuning. We can see that larger models lead to a strict accuracy improvement across all four datasets, even for MR</t>
        </is>
      </c>
    </row>
    <row r="291">
      <c r="A291" s="2" t="inlineStr">
        <is>
          <t>A1</t>
        </is>
      </c>
      <c r="B291" s="2" t="inlineStr">
        <is>
          <t>F2</t>
        </is>
      </c>
      <c r="C291" s="2" t="inlineStr">
        <is>
          <t>f2-q1</t>
        </is>
      </c>
      <c r="D291" s="2" t="inlineStr">
        <is>
          <t>What was real median household income in the United States in 2022?</t>
        </is>
      </c>
      <c r="E291" s="2" t="inlineStr">
        <is>
          <t>text</t>
        </is>
      </c>
      <c r="F291" s="2" t="inlineStr">
        <is>
          <t>$74,580</t>
        </is>
      </c>
      <c r="G291" s="2" t="inlineStr">
        <is>
          <t>A1</t>
        </is>
      </c>
      <c r="H291" s="2" t="n">
        <v>1</v>
      </c>
      <c r="I291" s="2" t="inlineStr">
        <is>
          <t>yes</t>
        </is>
      </c>
      <c r="J291" s="2" t="inlineStr">
        <is>
          <t>yes</t>
        </is>
      </c>
      <c r="K291" s="2" t="inlineStr">
        <is>
          <t>census-p60-279.pdf</t>
        </is>
      </c>
      <c r="L291" s="2" t="inlineStr">
        <is>
          <t>Income in the United States: 2022 &gt; HOUSEHOLD INCOME BY SELECTED CHARACTERISTICS &gt; All Households</t>
        </is>
      </c>
      <c r="M291" s="2" t="inlineStr">
        <is>
          <t>All Households
Real median household income 
was $74,580 in 2022, 2.3 percent 
lower than the 2021 estimate of 
$76,330. It was 4.7 percent lower 
than the 2019 median, the year 
before the start of the COVID-19 
pandemic and the corresponding 
rece</t>
        </is>
      </c>
    </row>
    <row r="292">
      <c r="A292" s="2" t="inlineStr">
        <is>
          <t>A1</t>
        </is>
      </c>
      <c r="B292" s="2" t="inlineStr">
        <is>
          <t>F2</t>
        </is>
      </c>
      <c r="C292" s="2" t="inlineStr">
        <is>
          <t>f2-q2</t>
        </is>
      </c>
      <c r="D292" s="2" t="inlineStr">
        <is>
          <t>By how much did real median household income change between 2021 and 2022?</t>
        </is>
      </c>
      <c r="E292" s="2" t="inlineStr">
        <is>
          <t>text</t>
        </is>
      </c>
      <c r="F292" s="2" t="inlineStr">
        <is>
          <t>2.3 percent</t>
        </is>
      </c>
      <c r="G292" s="2" t="inlineStr">
        <is>
          <t>A1</t>
        </is>
      </c>
      <c r="H292" s="2" t="n">
        <v>2</v>
      </c>
      <c r="I292" s="2" t="inlineStr">
        <is>
          <t>no</t>
        </is>
      </c>
      <c r="J292" s="2" t="inlineStr">
        <is>
          <t>yes</t>
        </is>
      </c>
      <c r="K292" s="2" t="inlineStr">
        <is>
          <t>census-p60-279.pdf</t>
        </is>
      </c>
      <c r="L292" s="2" t="inlineStr">
        <is>
          <t>Income in the United States: 2022 &gt; HOUSEHOLD INCOME BY SELECTED CHARACTERISTICS &gt; Change: 2021 to 2022
2022 Median Income</t>
        </is>
      </c>
      <c r="M292" s="2" t="inlineStr">
        <is>
          <t>Change: 2021 to 2022
2022 Median Income</t>
        </is>
      </c>
    </row>
    <row r="293">
      <c r="A293" s="2" t="inlineStr">
        <is>
          <t>A1</t>
        </is>
      </c>
      <c r="B293" s="2" t="inlineStr">
        <is>
          <t>F2</t>
        </is>
      </c>
      <c r="C293" s="2" t="inlineStr">
        <is>
          <t>f2-q3</t>
        </is>
      </c>
      <c r="D293" s="2" t="inlineStr">
        <is>
          <t>How did the money income Gini index change between 2021 and 2022?</t>
        </is>
      </c>
      <c r="E293" s="2" t="inlineStr">
        <is>
          <t>text</t>
        </is>
      </c>
      <c r="F293" s="2" t="inlineStr">
        <is>
          <t>from 0.494 to 0.488</t>
        </is>
      </c>
      <c r="G293" s="2" t="inlineStr">
        <is>
          <t>A1</t>
        </is>
      </c>
      <c r="H293" s="2" t="n">
        <v>1</v>
      </c>
      <c r="I293" s="2" t="inlineStr">
        <is>
          <t>yes</t>
        </is>
      </c>
      <c r="J293" s="2" t="inlineStr">
        <is>
          <t>yes</t>
        </is>
      </c>
      <c r="K293" s="2" t="inlineStr">
        <is>
          <t>census-p60-279.pdf</t>
        </is>
      </c>
      <c r="L293" s="2" t="inlineStr">
        <is>
          <t>Income in the United States: 2022 &gt; HOUSEHOLD INCOME BY SELECTED CHARACTERISTICS &gt; Money Income Inequality27</t>
        </is>
      </c>
      <c r="M293" s="2" t="inlineStr">
        <is>
          <t>Money Income Inequality27
The Gini index is a statistical mea sure of income inequality ranging 
from 0.0 to 1.0. It measures the 
amount that any two incomes 
differ, on average, relative to 
mean income. It is an indicator 
of how far apart or “sp</t>
        </is>
      </c>
    </row>
    <row r="294">
      <c r="A294" s="2" t="inlineStr">
        <is>
          <t>A1</t>
        </is>
      </c>
      <c r="B294" s="2" t="inlineStr">
        <is>
          <t>F2</t>
        </is>
      </c>
      <c r="C294" s="2" t="inlineStr">
        <is>
          <t>f2-q4</t>
        </is>
      </c>
      <c r="D294" s="2" t="inlineStr">
        <is>
          <t>What was the median income of married-couple households in 2022 according to Table A-1?</t>
        </is>
      </c>
      <c r="E294" s="2" t="inlineStr">
        <is>
          <t>table</t>
        </is>
      </c>
      <c r="F294" s="2" t="inlineStr">
        <is>
          <t>married-couple + 110,800</t>
        </is>
      </c>
      <c r="G294" s="2" t="inlineStr">
        <is>
          <t>A1</t>
        </is>
      </c>
      <c r="H294" s="2" t="n">
        <v>2</v>
      </c>
      <c r="I294" s="2" t="inlineStr">
        <is>
          <t>no</t>
        </is>
      </c>
      <c r="J294" s="2" t="inlineStr">
        <is>
          <t>yes</t>
        </is>
      </c>
      <c r="K294" s="2" t="inlineStr">
        <is>
          <t>census-p60-279.pdf</t>
        </is>
      </c>
      <c r="L294" s="2" t="inlineStr">
        <is>
          <t>Income in the United States: 2022 &gt; HOUSEHOLD INCOME BY SELECTED CHARACTERISTICS &gt; Type of Household8</t>
        </is>
      </c>
      <c r="M294" s="2" t="inlineStr">
        <is>
          <t>Type of Household8
The 2022 real median income of 
family households declined by 
2.9 percent from 2021, and the 
real median income of marriedcouple families declined by 3.9 
percent. Among family house holds, married couples had the 
highest media</t>
        </is>
      </c>
    </row>
    <row r="295">
      <c r="A295" s="2" t="inlineStr">
        <is>
          <t>A1</t>
        </is>
      </c>
      <c r="B295" s="2" t="inlineStr">
        <is>
          <t>F2</t>
        </is>
      </c>
      <c r="C295" s="2" t="inlineStr">
        <is>
          <t>f2-q5</t>
        </is>
      </c>
      <c r="D295" s="2" t="inlineStr">
        <is>
          <t>What was the median income of family households in 2022 according to Table A-1?</t>
        </is>
      </c>
      <c r="E295" s="2" t="inlineStr">
        <is>
          <t>table</t>
        </is>
      </c>
      <c r="F295" s="2" t="inlineStr">
        <is>
          <t>family households + 95,450</t>
        </is>
      </c>
      <c r="G295" s="2" t="inlineStr">
        <is>
          <t>A1</t>
        </is>
      </c>
      <c r="H295" s="2" t="n">
        <v>4</v>
      </c>
      <c r="I295" s="2" t="inlineStr">
        <is>
          <t>no</t>
        </is>
      </c>
      <c r="J295" s="2" t="inlineStr">
        <is>
          <t>yes</t>
        </is>
      </c>
      <c r="K295" s="2" t="inlineStr">
        <is>
          <t>census-p60-279.pdf</t>
        </is>
      </c>
      <c r="L295" s="2" t="inlineStr">
        <is>
          <t>Income in the United States: 2022 &gt; HOUSEHOLD INCOME BY SELECTED CHARACTERISTICS &gt; Type of Household8</t>
        </is>
      </c>
      <c r="M295" s="2" t="inlineStr">
        <is>
          <t>Type of Household8
The 2022 real median income of 
family households declined by 
2.9 percent from 2021, and the 
real median income of marriedcouple families declined by 3.9 
percent. Among family house holds, married couples had the 
highest media</t>
        </is>
      </c>
    </row>
    <row r="296">
      <c r="A296" s="2" t="inlineStr">
        <is>
          <t>A1</t>
        </is>
      </c>
      <c r="B296" s="2" t="inlineStr">
        <is>
          <t>F2</t>
        </is>
      </c>
      <c r="C296" s="2" t="inlineStr">
        <is>
          <t>f2-q6</t>
        </is>
      </c>
      <c r="D296" s="2" t="inlineStr">
        <is>
          <t>What was the median income of nonfamily households in 2022 according to Table A-1?</t>
        </is>
      </c>
      <c r="E296" s="2" t="inlineStr">
        <is>
          <t>table</t>
        </is>
      </c>
      <c r="F296" s="2" t="inlineStr">
        <is>
          <t>nonfamily households + 45,440</t>
        </is>
      </c>
      <c r="G296" s="2" t="inlineStr">
        <is>
          <t>A1</t>
        </is>
      </c>
      <c r="H296" s="2" t="n">
        <v>1</v>
      </c>
      <c r="I296" s="2" t="inlineStr">
        <is>
          <t>yes</t>
        </is>
      </c>
      <c r="J296" s="2" t="inlineStr">
        <is>
          <t>yes</t>
        </is>
      </c>
      <c r="K296" s="2" t="inlineStr">
        <is>
          <t>census-p60-279.pdf</t>
        </is>
      </c>
      <c r="L296" s="2" t="inlineStr">
        <is>
          <t>Income in the United States: 2022 &gt; HOUSEHOLD INCOME BY SELECTED CHARACTERISTICS &gt; Type of Household8</t>
        </is>
      </c>
      <c r="M296" s="2" t="inlineStr">
        <is>
          <t xml:space="preserve">an 
income between these groups and 
non-Hispanic White households 
decreased.12
Nonfamily households had a 
median income of $45,440 in 
2022, which was not significantly 
different from 2021 (Figure 1 and 
Table A-1). Nonfamily house holds with a </t>
        </is>
      </c>
    </row>
    <row r="297">
      <c r="A297" s="2" t="inlineStr">
        <is>
          <t>A1</t>
        </is>
      </c>
      <c r="B297" s="2" t="inlineStr">
        <is>
          <t>F2</t>
        </is>
      </c>
      <c r="C297" s="2" t="inlineStr">
        <is>
          <t>f2-q7</t>
        </is>
      </c>
      <c r="D297" s="2" t="inlineStr">
        <is>
          <t>What was the median household income in Canada in 2022?</t>
        </is>
      </c>
      <c r="E297" s="2" t="inlineStr">
        <is>
          <t>unanswerable</t>
        </is>
      </c>
      <c r="F297" s="2" t="inlineStr">
        <is>
          <t>(not in source)</t>
        </is>
      </c>
      <c r="G297" s="2" t="inlineStr">
        <is>
          <t>A1</t>
        </is>
      </c>
      <c r="H297" s="2" t="n"/>
      <c r="I297" s="2" t="inlineStr">
        <is>
          <t>n/a</t>
        </is>
      </c>
      <c r="J297" s="2" t="inlineStr">
        <is>
          <t>n/a</t>
        </is>
      </c>
      <c r="K297" s="2" t="inlineStr">
        <is>
          <t>census-p60-279.pdf</t>
        </is>
      </c>
      <c r="L297" s="2" t="inlineStr">
        <is>
          <t>Income in the United States: 2022 &gt; HOUSEHOLD INCOME BY SELECTED CHARACTERISTICS &gt; All Households</t>
        </is>
      </c>
      <c r="M297" s="2" t="inlineStr">
        <is>
          <t>All Households
Real median household income 
was $74,580 in 2022, 2.3 percent 
lower than the 2021 estimate of 
$76,330. It was 4.7 percent lower 
than the 2019 median, the year 
before the start of the COVID-19 
pandemic and the corresponding 
rece</t>
        </is>
      </c>
    </row>
    <row r="298">
      <c r="A298" s="2" t="inlineStr">
        <is>
          <t>A1</t>
        </is>
      </c>
      <c r="B298" s="2" t="inlineStr">
        <is>
          <t>F3</t>
        </is>
      </c>
      <c r="C298" s="2" t="inlineStr">
        <is>
          <t>f3-q1</t>
        </is>
      </c>
      <c r="D298" s="2" t="inlineStr">
        <is>
          <t>How many television pictures does Part III of the Surveyor VI report present?</t>
        </is>
      </c>
      <c r="E298" s="2" t="inlineStr">
        <is>
          <t>ocr</t>
        </is>
      </c>
      <c r="F298" s="2" t="inlineStr">
        <is>
          <t>139 of the total number</t>
        </is>
      </c>
      <c r="G298" s="2" t="inlineStr">
        <is>
          <t>A1</t>
        </is>
      </c>
      <c r="H298" s="2" t="n">
        <v>1</v>
      </c>
      <c r="I298" s="2" t="inlineStr">
        <is>
          <t>yes</t>
        </is>
      </c>
      <c r="J298" s="2" t="inlineStr">
        <is>
          <t>yes</t>
        </is>
      </c>
      <c r="K298" s="2" t="inlineStr">
        <is>
          <t>surveyor-vi-tv-scan.pdf</t>
        </is>
      </c>
      <c r="L298" s="2" t="inlineStr"/>
      <c r="M298"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299">
      <c r="A299" s="2" t="inlineStr">
        <is>
          <t>A1</t>
        </is>
      </c>
      <c r="B299" s="2" t="inlineStr">
        <is>
          <t>F3</t>
        </is>
      </c>
      <c r="C299" s="2" t="inlineStr">
        <is>
          <t>f3-q2</t>
        </is>
      </c>
      <c r="D299" s="2" t="inlineStr">
        <is>
          <t>Between which dates were the Surveyor VI television pictures transmitted?</t>
        </is>
      </c>
      <c r="E299" s="2" t="inlineStr">
        <is>
          <t>ocr</t>
        </is>
      </c>
      <c r="F299" s="2" t="inlineStr">
        <is>
          <t>november 10 and november 24, 1967</t>
        </is>
      </c>
      <c r="G299" s="2" t="inlineStr">
        <is>
          <t>A1</t>
        </is>
      </c>
      <c r="H299" s="2" t="n">
        <v>1</v>
      </c>
      <c r="I299" s="2" t="inlineStr">
        <is>
          <t>yes</t>
        </is>
      </c>
      <c r="J299" s="2" t="inlineStr">
        <is>
          <t>yes</t>
        </is>
      </c>
      <c r="K299" s="2" t="inlineStr">
        <is>
          <t>surveyor-vi-tv-scan.pdf</t>
        </is>
      </c>
      <c r="L299" s="2" t="inlineStr"/>
      <c r="M299"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00">
      <c r="A300" s="2" t="inlineStr">
        <is>
          <t>A1</t>
        </is>
      </c>
      <c r="B300" s="2" t="inlineStr">
        <is>
          <t>F3</t>
        </is>
      </c>
      <c r="C300" s="2" t="inlineStr">
        <is>
          <t>f3-q3</t>
        </is>
      </c>
      <c r="D300" s="2" t="inlineStr">
        <is>
          <t>How many mosaics are included in Part III?</t>
        </is>
      </c>
      <c r="E300" s="2" t="inlineStr">
        <is>
          <t>ocr</t>
        </is>
      </c>
      <c r="F300" s="2" t="inlineStr">
        <is>
          <t>46 mosaics</t>
        </is>
      </c>
      <c r="G300" s="2" t="inlineStr">
        <is>
          <t>A1</t>
        </is>
      </c>
      <c r="H300" s="2" t="n">
        <v>1</v>
      </c>
      <c r="I300" s="2" t="inlineStr">
        <is>
          <t>yes</t>
        </is>
      </c>
      <c r="J300" s="2" t="inlineStr">
        <is>
          <t>yes</t>
        </is>
      </c>
      <c r="K300" s="2" t="inlineStr">
        <is>
          <t>surveyor-vi-tv-scan.pdf</t>
        </is>
      </c>
      <c r="L300" s="2" t="inlineStr"/>
      <c r="M300"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01">
      <c r="A301" s="2" t="inlineStr">
        <is>
          <t>A1</t>
        </is>
      </c>
      <c r="B301" s="2" t="inlineStr">
        <is>
          <t>F3</t>
        </is>
      </c>
      <c r="C301" s="2" t="inlineStr">
        <is>
          <t>f3-q4</t>
        </is>
      </c>
      <c r="D301" s="2" t="inlineStr">
        <is>
          <t>What is the mass of the Surveyor survey TV camera?</t>
        </is>
      </c>
      <c r="E301" s="2" t="inlineStr">
        <is>
          <t>ocr</t>
        </is>
      </c>
      <c r="F301" s="2" t="inlineStr">
        <is>
          <t>7.3-kg camera</t>
        </is>
      </c>
      <c r="G301" s="2" t="inlineStr">
        <is>
          <t>A1</t>
        </is>
      </c>
      <c r="H301" s="2" t="n">
        <v>3</v>
      </c>
      <c r="I301" s="2" t="inlineStr">
        <is>
          <t>no</t>
        </is>
      </c>
      <c r="J301" s="2" t="inlineStr">
        <is>
          <t>yes</t>
        </is>
      </c>
      <c r="K301" s="2" t="inlineStr">
        <is>
          <t>surveyor-vi-tv-scan.pdf</t>
        </is>
      </c>
      <c r="L301" s="2" t="inlineStr"/>
      <c r="M301" s="2" t="inlineStr">
        <is>
          <t>Il. Television Subsystem M. I. Smokler
The Surveyor TV system is designed to obtain video pictures of the lunar surface, lunar sky, and portions of the landed spacecraft. It includes a survey camera capable of panoramic viewing, and a TV auxiliary t</t>
        </is>
      </c>
    </row>
    <row r="302">
      <c r="A302" s="2" t="inlineStr">
        <is>
          <t>A1</t>
        </is>
      </c>
      <c r="B302" s="2" t="inlineStr">
        <is>
          <t>F3</t>
        </is>
      </c>
      <c r="C302" s="2" t="inlineStr">
        <is>
          <t>f3-q5</t>
        </is>
      </c>
      <c r="D302" s="2" t="inlineStr">
        <is>
          <t>Over what range can the Surveyor TV camera focus?</t>
        </is>
      </c>
      <c r="E302" s="2" t="inlineStr">
        <is>
          <t>ocr</t>
        </is>
      </c>
      <c r="F302" s="2" t="inlineStr">
        <is>
          <t>1.22 m to infinity</t>
        </is>
      </c>
      <c r="G302" s="2" t="inlineStr">
        <is>
          <t>A1</t>
        </is>
      </c>
      <c r="H302" s="2" t="n">
        <v>4</v>
      </c>
      <c r="I302" s="2" t="inlineStr">
        <is>
          <t>no</t>
        </is>
      </c>
      <c r="J302" s="2" t="inlineStr">
        <is>
          <t>yes</t>
        </is>
      </c>
      <c r="K302" s="2" t="inlineStr">
        <is>
          <t>surveyor-vi-tv-scan.pdf</t>
        </is>
      </c>
      <c r="L302" s="2" t="inlineStr"/>
      <c r="M302" s="2" t="inlineStr">
        <is>
          <t xml:space="preserve"> was capable of providing either a
Fig. II-5. Variable-focal-length lens assembly
100-mm or 25-mm focal length, resulting in a vertical field of view of approximately 6.43 or 25.3 deg, respectively, as measured by the angular subtense of the vertic</t>
        </is>
      </c>
    </row>
    <row r="303">
      <c r="A303" s="2" t="inlineStr">
        <is>
          <t>A1</t>
        </is>
      </c>
      <c r="B303" s="2" t="inlineStr">
        <is>
          <t>F3</t>
        </is>
      </c>
      <c r="C303" s="2" t="inlineStr">
        <is>
          <t>f3-q6</t>
        </is>
      </c>
      <c r="D303" s="2" t="inlineStr">
        <is>
          <t>What scene luminance range is the Surveyor camera designed to accommodate?</t>
        </is>
      </c>
      <c r="E303" s="2" t="inlineStr">
        <is>
          <t>ocr</t>
        </is>
      </c>
      <c r="F303" s="2" t="inlineStr">
        <is>
          <t>0.008 to 2600 ft-l</t>
        </is>
      </c>
      <c r="G303" s="2" t="inlineStr">
        <is>
          <t>A1</t>
        </is>
      </c>
      <c r="H303" s="2" t="n">
        <v>1</v>
      </c>
      <c r="I303" s="2" t="inlineStr">
        <is>
          <t>yes</t>
        </is>
      </c>
      <c r="J303" s="2" t="inlineStr">
        <is>
          <t>yes</t>
        </is>
      </c>
      <c r="K303" s="2" t="inlineStr">
        <is>
          <t>surveyor-vi-tv-scan.pdf</t>
        </is>
      </c>
      <c r="L303" s="2" t="inlineStr"/>
      <c r="M303" s="2" t="inlineStr">
        <is>
          <t xml:space="preserve">tification signals and to provide appropriate video mixing.
A. Camera Description
The slow-scan survey TV camera, shown in Figs. II-1 and II-2, provides images of the lunar surface over a 360-deg panorama. Each picture, or frame, is imaged through </t>
        </is>
      </c>
    </row>
    <row r="304">
      <c r="A304" s="2" t="inlineStr">
        <is>
          <t>A1</t>
        </is>
      </c>
      <c r="B304" s="2" t="inlineStr">
        <is>
          <t>F3</t>
        </is>
      </c>
      <c r="C304" s="2" t="inlineStr">
        <is>
          <t>f3-q7</t>
        </is>
      </c>
      <c r="D304" s="2" t="inlineStr">
        <is>
          <t>Which mission number in the Surveyor series was Surveyor VI?</t>
        </is>
      </c>
      <c r="E304" s="2" t="inlineStr">
        <is>
          <t>ocr</t>
        </is>
      </c>
      <c r="F304" s="2" t="inlineStr">
        <is>
          <t>the sixth in a series of unmanned lunar soft-landing missions</t>
        </is>
      </c>
      <c r="G304" s="2" t="inlineStr">
        <is>
          <t>A1</t>
        </is>
      </c>
      <c r="H304" s="2" t="n">
        <v>1</v>
      </c>
      <c r="I304" s="2" t="inlineStr">
        <is>
          <t>yes</t>
        </is>
      </c>
      <c r="J304" s="2" t="inlineStr">
        <is>
          <t>yes</t>
        </is>
      </c>
      <c r="K304" s="2" t="inlineStr">
        <is>
          <t>surveyor-vi-tv-scan.pdf</t>
        </is>
      </c>
      <c r="L304" s="2" t="inlineStr"/>
      <c r="M304" s="2" t="inlineStr">
        <is>
          <t>Preface
This three-part document constitutes the Project Mission Report on Surveyor VI, the sixth in a series of unmanned lunar soft-landing missions.
Part I of this Technical Report consists of a technical description and an evaluation of engineer</t>
        </is>
      </c>
    </row>
    <row r="305">
      <c r="A305" s="2" t="inlineStr">
        <is>
          <t>A1</t>
        </is>
      </c>
      <c r="B305" s="2" t="inlineStr">
        <is>
          <t>F3</t>
        </is>
      </c>
      <c r="C305" s="2" t="inlineStr">
        <is>
          <t>f3-q8</t>
        </is>
      </c>
      <c r="D305" s="2" t="inlineStr">
        <is>
          <t>What was the landing site latitude of Surveyor VII?</t>
        </is>
      </c>
      <c r="E305" s="2" t="inlineStr">
        <is>
          <t>unanswerable</t>
        </is>
      </c>
      <c r="F305" s="2" t="inlineStr">
        <is>
          <t>(not in source)</t>
        </is>
      </c>
      <c r="G305" s="2" t="inlineStr">
        <is>
          <t>A1</t>
        </is>
      </c>
      <c r="H305" s="2" t="n"/>
      <c r="I305" s="2" t="inlineStr">
        <is>
          <t>n/a</t>
        </is>
      </c>
      <c r="J305" s="2" t="inlineStr">
        <is>
          <t>n/a</t>
        </is>
      </c>
      <c r="K305" s="2" t="inlineStr">
        <is>
          <t>surveyor-vi-tv-scan.pdf</t>
        </is>
      </c>
      <c r="L305" s="2" t="inlineStr"/>
      <c r="M305" s="2" t="inlineStr">
        <is>
          <t>Preface
This three-part document constitutes the Project Mission Report on Surveyor VI, the sixth in a series of unmanned lunar soft-landing missions.
Part I of this Technical Report consists of a technical description and an evaluation of engineer</t>
        </is>
      </c>
    </row>
    <row r="306">
      <c r="A306" s="2" t="inlineStr">
        <is>
          <t>A2</t>
        </is>
      </c>
      <c r="B306" s="2" t="inlineStr">
        <is>
          <t>F1</t>
        </is>
      </c>
      <c r="C306" s="2" t="inlineStr">
        <is>
          <t>f1-q1</t>
        </is>
      </c>
      <c r="D306" s="2" t="inlineStr">
        <is>
          <t>What are the layer, hidden size and attention head settings of BERT-base?</t>
        </is>
      </c>
      <c r="E306" s="2" t="inlineStr">
        <is>
          <t>text</t>
        </is>
      </c>
      <c r="F306" s="2" t="inlineStr">
        <is>
          <t>l=12, h=768, a=12</t>
        </is>
      </c>
      <c r="G306" s="2" t="inlineStr">
        <is>
          <t>A2</t>
        </is>
      </c>
      <c r="H306" s="2" t="n">
        <v>2</v>
      </c>
      <c r="I306" s="2" t="inlineStr">
        <is>
          <t>no</t>
        </is>
      </c>
      <c r="J306" s="2" t="inlineStr">
        <is>
          <t>yes</t>
        </is>
      </c>
      <c r="K306" s="2" t="inlineStr">
        <is>
          <t>acl-n19-1423-bert.pdf</t>
        </is>
      </c>
      <c r="L306" s="2" t="inlineStr">
        <is>
          <t>Language Understanding &gt; 5 Ablation Studies &gt; 5.3 Feature-based Approach with BERT</t>
        </is>
      </c>
      <c r="M306" s="2" t="inlineStr">
        <is>
          <t xml:space="preserve">.99 84.4 86.7 92.9 12 1024 16 3.54 85.7 86.9 93.3 24 1024 16 3.23 86.6 87.8 93.7
Table 6:
Ablation over BERT model size. #L = the
number of layers; #H = hidden size; #A = number of attention heads. “LM (ppl)” is the masked LM perplexity
of held-out </t>
        </is>
      </c>
    </row>
    <row r="307">
      <c r="A307" s="2" t="inlineStr">
        <is>
          <t>A2</t>
        </is>
      </c>
      <c r="B307" s="2" t="inlineStr">
        <is>
          <t>F1</t>
        </is>
      </c>
      <c r="C307" s="2" t="inlineStr">
        <is>
          <t>f1-q2</t>
        </is>
      </c>
      <c r="D307" s="2" t="inlineStr">
        <is>
          <t>What percentage of WordPiece tokens does BERT mask during pre-training?</t>
        </is>
      </c>
      <c r="E307" s="2" t="inlineStr">
        <is>
          <t>text</t>
        </is>
      </c>
      <c r="F307" s="2" t="inlineStr">
        <is>
          <t>15% of all wordpiece</t>
        </is>
      </c>
      <c r="G307" s="2" t="inlineStr">
        <is>
          <t>A2</t>
        </is>
      </c>
      <c r="H307" s="2" t="n">
        <v>2</v>
      </c>
      <c r="I307" s="2" t="inlineStr">
        <is>
          <t>no</t>
        </is>
      </c>
      <c r="J307" s="2" t="inlineStr">
        <is>
          <t>yes</t>
        </is>
      </c>
      <c r="K307" s="2" t="inlineStr">
        <is>
          <t>acl-n19-1423-bert.pdf</t>
        </is>
      </c>
      <c r="L307" s="2" t="inlineStr">
        <is>
          <t>Language Understanding &gt; 3 BERT &gt; 3.1 Pre-training BERT</t>
        </is>
      </c>
      <c r="M307" s="2" t="inlineStr">
        <is>
          <t>), we only predict the masked words rather than reconstructing the entire input.
Although this allows us to obtain a bidirectional pre-trained model, a downside is that we are creating a mismatch between pre-training and ﬁne-tuning, since the [MASK]</t>
        </is>
      </c>
    </row>
    <row r="308">
      <c r="A308" s="2" t="inlineStr">
        <is>
          <t>A2</t>
        </is>
      </c>
      <c r="B308" s="2" t="inlineStr">
        <is>
          <t>F1</t>
        </is>
      </c>
      <c r="C308" s="2" t="inlineStr">
        <is>
          <t>f1-q3</t>
        </is>
      </c>
      <c r="D308" s="2" t="inlineStr">
        <is>
          <t>What GLUE score did BERT reach?</t>
        </is>
      </c>
      <c r="E308" s="2" t="inlineStr">
        <is>
          <t>text</t>
        </is>
      </c>
      <c r="F308" s="2" t="inlineStr">
        <is>
          <t>glue score to 80.5%</t>
        </is>
      </c>
      <c r="G308" s="2" t="inlineStr">
        <is>
          <t>A2</t>
        </is>
      </c>
      <c r="H308" s="2" t="n">
        <v>5</v>
      </c>
      <c r="I308" s="2" t="inlineStr">
        <is>
          <t>no</t>
        </is>
      </c>
      <c r="J308" s="2" t="inlineStr">
        <is>
          <t>yes</t>
        </is>
      </c>
      <c r="K308" s="2" t="inlineStr">
        <is>
          <t>acl-n19-1423-bert.pdf</t>
        </is>
      </c>
      <c r="L308" s="2" t="inlineStr">
        <is>
          <t>Language Understanding &gt; 4 Experiments &gt; 4.1 GLUE</t>
        </is>
      </c>
      <c r="M308" s="2" t="inlineStr">
        <is>
          <t xml:space="preserve"> 85.8 88.9 66.4 79.6 BERTLARGE 86.7/85.9 72.1 92.7 94.9 60.5 86.5 89.3 70.1 82.1
Table 1: GLUE Test results, scored by the evaluation server (https://gluebenchmark.com/leaderboard).
The number below each task denotes the number of training examples.</t>
        </is>
      </c>
    </row>
    <row r="309">
      <c r="A309" s="2" t="inlineStr">
        <is>
          <t>A2</t>
        </is>
      </c>
      <c r="B309" s="2" t="inlineStr">
        <is>
          <t>F1</t>
        </is>
      </c>
      <c r="C309" s="2" t="inlineStr">
        <is>
          <t>f1-q4</t>
        </is>
      </c>
      <c r="D309" s="2" t="inlineStr">
        <is>
          <t>Which corpora were used to pre-train BERT?</t>
        </is>
      </c>
      <c r="E309" s="2" t="inlineStr">
        <is>
          <t>text</t>
        </is>
      </c>
      <c r="F309" s="2" t="inlineStr">
        <is>
          <t>bookscorpus (800m words)</t>
        </is>
      </c>
      <c r="G309" s="2" t="inlineStr">
        <is>
          <t>A2</t>
        </is>
      </c>
      <c r="H309" s="2" t="n">
        <v>1</v>
      </c>
      <c r="I309" s="2" t="inlineStr">
        <is>
          <t>yes</t>
        </is>
      </c>
      <c r="J309" s="2" t="inlineStr">
        <is>
          <t>yes</t>
        </is>
      </c>
      <c r="K309" s="2" t="inlineStr">
        <is>
          <t>acl-n19-1423-bert.pdf</t>
        </is>
      </c>
      <c r="L309" s="2" t="inlineStr">
        <is>
          <t>Language Understanding &gt; 3 BERT &gt; 3.1 Pre-training BERT</t>
        </is>
      </c>
      <c r="M309" s="2" t="inlineStr">
        <is>
          <t xml:space="preserve">ks, where BERT transfers all parameters to initialize end-task model parameters.
Pre-training data The pre-training procedure largely follows the existing literature on language model pre-training. For the pre-training corpus we use the BooksCorpus </t>
        </is>
      </c>
    </row>
    <row r="310">
      <c r="A310" s="2" t="inlineStr">
        <is>
          <t>A2</t>
        </is>
      </c>
      <c r="B310" s="2" t="inlineStr">
        <is>
          <t>F1</t>
        </is>
      </c>
      <c r="C310" s="2" t="inlineStr">
        <is>
          <t>f1-q5</t>
        </is>
      </c>
      <c r="D310" s="2" t="inlineStr">
        <is>
          <t>What SQuAD v1.1 Test F1 did BERT achieve?</t>
        </is>
      </c>
      <c r="E310" s="2" t="inlineStr">
        <is>
          <t>text</t>
        </is>
      </c>
      <c r="F310" s="2" t="inlineStr">
        <is>
          <t>93.2</t>
        </is>
      </c>
      <c r="G310" s="2" t="inlineStr">
        <is>
          <t>A2</t>
        </is>
      </c>
      <c r="H310" s="2" t="n">
        <v>2</v>
      </c>
      <c r="I310" s="2" t="inlineStr">
        <is>
          <t>no</t>
        </is>
      </c>
      <c r="J310" s="2" t="inlineStr">
        <is>
          <t>yes</t>
        </is>
      </c>
      <c r="K310" s="2" t="inlineStr">
        <is>
          <t>acl-n19-1423-bert.pdf</t>
        </is>
      </c>
      <c r="L310" s="2" t="inlineStr">
        <is>
          <t>Language Understanding &gt; 4 Experiments &gt; 4.2 SQuAD v1.1</t>
        </is>
      </c>
      <c r="M310" s="2" t="inlineStr">
        <is>
          <t xml:space="preserve">rst ﬁne-tuning on TriviaQA (Joshi
et al., 2017) befor ﬁne-tuning on SQuAD.
Our best performing system outperforms the top leaderboard system by +1.5 F1 in ensembling and +1.3 F1 as a single system. In fact, our single BERT model outperforms the top </t>
        </is>
      </c>
    </row>
    <row r="311">
      <c r="A311" s="2" t="inlineStr">
        <is>
          <t>A2</t>
        </is>
      </c>
      <c r="B311" s="2" t="inlineStr">
        <is>
          <t>F1</t>
        </is>
      </c>
      <c r="C311" s="2" t="inlineStr">
        <is>
          <t>f1-q6</t>
        </is>
      </c>
      <c r="D311" s="2" t="inlineStr">
        <is>
          <t>How many total parameters does BERT-large have?</t>
        </is>
      </c>
      <c r="E311" s="2" t="inlineStr">
        <is>
          <t>text</t>
        </is>
      </c>
      <c r="F311" s="2" t="inlineStr">
        <is>
          <t>total parameters=340m</t>
        </is>
      </c>
      <c r="G311" s="2" t="inlineStr">
        <is>
          <t>A2</t>
        </is>
      </c>
      <c r="H311" s="2" t="n">
        <v>2</v>
      </c>
      <c r="I311" s="2" t="inlineStr">
        <is>
          <t>no</t>
        </is>
      </c>
      <c r="J311" s="2" t="inlineStr">
        <is>
          <t>yes</t>
        </is>
      </c>
      <c r="K311" s="2" t="inlineStr">
        <is>
          <t>acl-n19-1423-bert.pdf</t>
        </is>
      </c>
      <c r="L311" s="2" t="inlineStr">
        <is>
          <t>Language Understanding &gt; 5 Ablation Studies &gt; 5.2 Effect of Model Size</t>
        </is>
      </c>
      <c r="M311" s="2" t="inlineStr">
        <is>
          <t>e literature is (L=64, H=512, A=2) with 235M parameters (Al-Rfou et al., 2018). 
By contrast, BERTBASE contains 110M parameters and BERTLARGE contains 340M parameters.
It has long been known that increasing the model size will lead to continual imp</t>
        </is>
      </c>
    </row>
    <row r="312">
      <c r="A312" s="2" t="inlineStr">
        <is>
          <t>A2</t>
        </is>
      </c>
      <c r="B312" s="2" t="inlineStr">
        <is>
          <t>F1</t>
        </is>
      </c>
      <c r="C312" s="2" t="inlineStr">
        <is>
          <t>f1-q7</t>
        </is>
      </c>
      <c r="D312" s="2" t="inlineStr">
        <is>
          <t>How many GPUs were used to train GPT-4?</t>
        </is>
      </c>
      <c r="E312" s="2" t="inlineStr">
        <is>
          <t>unanswerable</t>
        </is>
      </c>
      <c r="F312" s="2" t="inlineStr">
        <is>
          <t>(not in source)</t>
        </is>
      </c>
      <c r="G312" s="2" t="inlineStr">
        <is>
          <t>A2</t>
        </is>
      </c>
      <c r="H312" s="2" t="n"/>
      <c r="I312" s="2" t="inlineStr">
        <is>
          <t>n/a</t>
        </is>
      </c>
      <c r="J312" s="2" t="inlineStr">
        <is>
          <t>n/a</t>
        </is>
      </c>
      <c r="K312" s="2" t="inlineStr">
        <is>
          <t>acl-n19-1423-bert.pdf</t>
        </is>
      </c>
      <c r="L312" s="2" t="inlineStr">
        <is>
          <t>Language Understanding &gt; 5 Ablation Studies &gt; 5.2 Effect of Model Size</t>
        </is>
      </c>
      <c r="M312" s="2" t="inlineStr">
        <is>
          <t>Results on selected GLUE tasks are shown in Table 6. In this table, we report the average Dev Set accuracy from 5 random restarts of ﬁne-tuning. We can see that larger models lead to a strict accuracy improvement across all four datasets, even for MR</t>
        </is>
      </c>
    </row>
    <row r="313">
      <c r="A313" s="2" t="inlineStr">
        <is>
          <t>A2</t>
        </is>
      </c>
      <c r="B313" s="2" t="inlineStr">
        <is>
          <t>F2</t>
        </is>
      </c>
      <c r="C313" s="2" t="inlineStr">
        <is>
          <t>f2-q1</t>
        </is>
      </c>
      <c r="D313" s="2" t="inlineStr">
        <is>
          <t>What was real median household income in the United States in 2022?</t>
        </is>
      </c>
      <c r="E313" s="2" t="inlineStr">
        <is>
          <t>text</t>
        </is>
      </c>
      <c r="F313" s="2" t="inlineStr">
        <is>
          <t>$74,580</t>
        </is>
      </c>
      <c r="G313" s="2" t="inlineStr">
        <is>
          <t>A2</t>
        </is>
      </c>
      <c r="H313" s="2" t="n">
        <v>1</v>
      </c>
      <c r="I313" s="2" t="inlineStr">
        <is>
          <t>yes</t>
        </is>
      </c>
      <c r="J313" s="2" t="inlineStr">
        <is>
          <t>yes</t>
        </is>
      </c>
      <c r="K313" s="2" t="inlineStr">
        <is>
          <t>census-p60-279.pdf</t>
        </is>
      </c>
      <c r="L313" s="2" t="inlineStr">
        <is>
          <t>Income in the United States: 2022 &gt; HOUSEHOLD INCOME BY SELECTED CHARACTERISTICS &gt; All Households</t>
        </is>
      </c>
      <c r="M313" s="2" t="inlineStr">
        <is>
          <t>All Households
Real median household income 
was $74,580 in 2022, 2.3 percent 
lower than the 2021 estimate of 
$76,330. It was 4.7 percent lower 
than the 2019 median, the year 
before the start of the COVID-19 
pandemic and the corresponding 
rece</t>
        </is>
      </c>
    </row>
    <row r="314">
      <c r="A314" s="2" t="inlineStr">
        <is>
          <t>A2</t>
        </is>
      </c>
      <c r="B314" s="2" t="inlineStr">
        <is>
          <t>F2</t>
        </is>
      </c>
      <c r="C314" s="2" t="inlineStr">
        <is>
          <t>f2-q2</t>
        </is>
      </c>
      <c r="D314" s="2" t="inlineStr">
        <is>
          <t>By how much did real median household income change between 2021 and 2022?</t>
        </is>
      </c>
      <c r="E314" s="2" t="inlineStr">
        <is>
          <t>text</t>
        </is>
      </c>
      <c r="F314" s="2" t="inlineStr">
        <is>
          <t>2.3 percent</t>
        </is>
      </c>
      <c r="G314" s="2" t="inlineStr">
        <is>
          <t>A2</t>
        </is>
      </c>
      <c r="H314" s="2" t="n">
        <v>2</v>
      </c>
      <c r="I314" s="2" t="inlineStr">
        <is>
          <t>no</t>
        </is>
      </c>
      <c r="J314" s="2" t="inlineStr">
        <is>
          <t>yes</t>
        </is>
      </c>
      <c r="K314" s="2" t="inlineStr">
        <is>
          <t>census-p60-279.pdf</t>
        </is>
      </c>
      <c r="L314" s="2" t="inlineStr">
        <is>
          <t>Income in the United States: 2022 &gt; HOUSEHOLD INCOME BY SELECTED CHARACTERISTICS &gt; Change: 2021 to 2022
2022 Median Income</t>
        </is>
      </c>
      <c r="M314" s="2" t="inlineStr">
        <is>
          <t>Change: 2021 to 2022
2022 Median Income</t>
        </is>
      </c>
    </row>
    <row r="315">
      <c r="A315" s="2" t="inlineStr">
        <is>
          <t>A2</t>
        </is>
      </c>
      <c r="B315" s="2" t="inlineStr">
        <is>
          <t>F2</t>
        </is>
      </c>
      <c r="C315" s="2" t="inlineStr">
        <is>
          <t>f2-q3</t>
        </is>
      </c>
      <c r="D315" s="2" t="inlineStr">
        <is>
          <t>How did the money income Gini index change between 2021 and 2022?</t>
        </is>
      </c>
      <c r="E315" s="2" t="inlineStr">
        <is>
          <t>text</t>
        </is>
      </c>
      <c r="F315" s="2" t="inlineStr">
        <is>
          <t>from 0.494 to 0.488</t>
        </is>
      </c>
      <c r="G315" s="2" t="inlineStr">
        <is>
          <t>A2</t>
        </is>
      </c>
      <c r="H315" s="2" t="n">
        <v>1</v>
      </c>
      <c r="I315" s="2" t="inlineStr">
        <is>
          <t>yes</t>
        </is>
      </c>
      <c r="J315" s="2" t="inlineStr">
        <is>
          <t>yes</t>
        </is>
      </c>
      <c r="K315" s="2" t="inlineStr">
        <is>
          <t>census-p60-279.pdf</t>
        </is>
      </c>
      <c r="L315" s="2" t="inlineStr">
        <is>
          <t>Income in the United States: 2022 &gt; HOUSEHOLD INCOME BY SELECTED CHARACTERISTICS &gt; Money Income Inequality27</t>
        </is>
      </c>
      <c r="M315" s="2" t="inlineStr">
        <is>
          <t>Money Income Inequality27
The Gini index is a statistical measure of income inequality ranging 
from 0.0 to 1.0. It measures the 
amount that any two incomes 
differ, on average, relative to 
mean income. It is an indicator 
of how far apart or “spr</t>
        </is>
      </c>
    </row>
    <row r="316">
      <c r="A316" s="2" t="inlineStr">
        <is>
          <t>A2</t>
        </is>
      </c>
      <c r="B316" s="2" t="inlineStr">
        <is>
          <t>F2</t>
        </is>
      </c>
      <c r="C316" s="2" t="inlineStr">
        <is>
          <t>f2-q4</t>
        </is>
      </c>
      <c r="D316" s="2" t="inlineStr">
        <is>
          <t>What was the median income of married-couple households in 2022 according to Table A-1?</t>
        </is>
      </c>
      <c r="E316" s="2" t="inlineStr">
        <is>
          <t>table</t>
        </is>
      </c>
      <c r="F316" s="2" t="inlineStr">
        <is>
          <t>married-couple + 110,800</t>
        </is>
      </c>
      <c r="G316" s="2" t="inlineStr">
        <is>
          <t>A2</t>
        </is>
      </c>
      <c r="H316" s="2" t="n">
        <v>1</v>
      </c>
      <c r="I316" s="2" t="inlineStr">
        <is>
          <t>yes</t>
        </is>
      </c>
      <c r="J316" s="2" t="inlineStr">
        <is>
          <t>yes</t>
        </is>
      </c>
      <c r="K316" s="2" t="inlineStr">
        <is>
          <t>census-p60-279.pdf</t>
        </is>
      </c>
      <c r="L316" s="2" t="inlineStr">
        <is>
          <t>Income in the United States: 2022 &gt; HOUSEHOLD INCOME BY SELECTED CHARACTERISTICS &gt; Type of Household8</t>
        </is>
      </c>
      <c r="M316" s="2" t="inlineStr">
        <is>
          <t>Type of Household8
The 2022 real median income of 
family households declined by 
2.9 percent from 2021, and the 
real median income of married-couple families declined by 3.9 
percent. Among family households, married couples had the 
highest media</t>
        </is>
      </c>
    </row>
    <row r="317">
      <c r="A317" s="2" t="inlineStr">
        <is>
          <t>A2</t>
        </is>
      </c>
      <c r="B317" s="2" t="inlineStr">
        <is>
          <t>F2</t>
        </is>
      </c>
      <c r="C317" s="2" t="inlineStr">
        <is>
          <t>f2-q5</t>
        </is>
      </c>
      <c r="D317" s="2" t="inlineStr">
        <is>
          <t>What was the median income of family households in 2022 according to Table A-1?</t>
        </is>
      </c>
      <c r="E317" s="2" t="inlineStr">
        <is>
          <t>table</t>
        </is>
      </c>
      <c r="F317" s="2" t="inlineStr">
        <is>
          <t>family households + 95,450</t>
        </is>
      </c>
      <c r="G317" s="2" t="inlineStr">
        <is>
          <t>A2</t>
        </is>
      </c>
      <c r="H317" s="2" t="n">
        <v>4</v>
      </c>
      <c r="I317" s="2" t="inlineStr">
        <is>
          <t>no</t>
        </is>
      </c>
      <c r="J317" s="2" t="inlineStr">
        <is>
          <t>yes</t>
        </is>
      </c>
      <c r="K317" s="2" t="inlineStr">
        <is>
          <t>census-p60-279.pdf</t>
        </is>
      </c>
      <c r="L317" s="2" t="inlineStr">
        <is>
          <t>Income in the United States: 2022 &gt; HOUSEHOLD INCOME BY SELECTED CHARACTERISTICS &gt; Type of Household8</t>
        </is>
      </c>
      <c r="M317" s="2" t="inlineStr">
        <is>
          <t>Type of Household8
The 2022 real median income of 
family households declined by 
2.9 percent from 2021, and the 
real median income of married-couple families declined by 3.9 
percent. Among family households, married couples had the 
highest media</t>
        </is>
      </c>
    </row>
    <row r="318">
      <c r="A318" s="2" t="inlineStr">
        <is>
          <t>A2</t>
        </is>
      </c>
      <c r="B318" s="2" t="inlineStr">
        <is>
          <t>F2</t>
        </is>
      </c>
      <c r="C318" s="2" t="inlineStr">
        <is>
          <t>f2-q6</t>
        </is>
      </c>
      <c r="D318" s="2" t="inlineStr">
        <is>
          <t>What was the median income of nonfamily households in 2022 according to Table A-1?</t>
        </is>
      </c>
      <c r="E318" s="2" t="inlineStr">
        <is>
          <t>table</t>
        </is>
      </c>
      <c r="F318" s="2" t="inlineStr">
        <is>
          <t>nonfamily households + 45,440</t>
        </is>
      </c>
      <c r="G318" s="2" t="inlineStr">
        <is>
          <t>A2</t>
        </is>
      </c>
      <c r="H318" s="2" t="n">
        <v>1</v>
      </c>
      <c r="I318" s="2" t="inlineStr">
        <is>
          <t>yes</t>
        </is>
      </c>
      <c r="J318" s="2" t="inlineStr">
        <is>
          <t>yes</t>
        </is>
      </c>
      <c r="K318" s="2" t="inlineStr">
        <is>
          <t>census-p60-279.pdf</t>
        </is>
      </c>
      <c r="L318" s="2" t="inlineStr">
        <is>
          <t>Income in the United States: 2022 &gt; HOUSEHOLD INCOME BY SELECTED CHARACTERISTICS &gt; Type of Household8</t>
        </is>
      </c>
      <c r="M318" s="2" t="inlineStr">
        <is>
          <t>an 
income between these groups and 
non-Hispanic White households 
decreased.12
Nonfamily households had a 
median income of $45,440 in 
2022, which was not significantly 
different from 2021 (Figure 1 and 
Table A-1). Nonfamily households with a f</t>
        </is>
      </c>
    </row>
    <row r="319">
      <c r="A319" s="2" t="inlineStr">
        <is>
          <t>A2</t>
        </is>
      </c>
      <c r="B319" s="2" t="inlineStr">
        <is>
          <t>F2</t>
        </is>
      </c>
      <c r="C319" s="2" t="inlineStr">
        <is>
          <t>f2-q7</t>
        </is>
      </c>
      <c r="D319" s="2" t="inlineStr">
        <is>
          <t>What was the median household income in Canada in 2022?</t>
        </is>
      </c>
      <c r="E319" s="2" t="inlineStr">
        <is>
          <t>unanswerable</t>
        </is>
      </c>
      <c r="F319" s="2" t="inlineStr">
        <is>
          <t>(not in source)</t>
        </is>
      </c>
      <c r="G319" s="2" t="inlineStr">
        <is>
          <t>A2</t>
        </is>
      </c>
      <c r="H319" s="2" t="n"/>
      <c r="I319" s="2" t="inlineStr">
        <is>
          <t>n/a</t>
        </is>
      </c>
      <c r="J319" s="2" t="inlineStr">
        <is>
          <t>n/a</t>
        </is>
      </c>
      <c r="K319" s="2" t="inlineStr">
        <is>
          <t>census-p60-279.pdf</t>
        </is>
      </c>
      <c r="L319" s="2" t="inlineStr">
        <is>
          <t>Income in the United States: 2022 &gt; HOUSEHOLD INCOME BY SELECTED CHARACTERISTICS &gt; All Households</t>
        </is>
      </c>
      <c r="M319" s="2" t="inlineStr">
        <is>
          <t>All Households
Real median household income 
was $74,580 in 2022, 2.3 percent 
lower than the 2021 estimate of 
$76,330. It was 4.7 percent lower 
than the 2019 median, the year 
before the start of the COVID-19 
pandemic and the corresponding 
rece</t>
        </is>
      </c>
    </row>
    <row r="320">
      <c r="A320" s="2" t="inlineStr">
        <is>
          <t>A2</t>
        </is>
      </c>
      <c r="B320" s="2" t="inlineStr">
        <is>
          <t>F3</t>
        </is>
      </c>
      <c r="C320" s="2" t="inlineStr">
        <is>
          <t>f3-q1</t>
        </is>
      </c>
      <c r="D320" s="2" t="inlineStr">
        <is>
          <t>How many television pictures does Part III of the Surveyor VI report present?</t>
        </is>
      </c>
      <c r="E320" s="2" t="inlineStr">
        <is>
          <t>ocr</t>
        </is>
      </c>
      <c r="F320" s="2" t="inlineStr">
        <is>
          <t>139 of the total number</t>
        </is>
      </c>
      <c r="G320" s="2" t="inlineStr">
        <is>
          <t>A2</t>
        </is>
      </c>
      <c r="H320" s="2" t="n">
        <v>1</v>
      </c>
      <c r="I320" s="2" t="inlineStr">
        <is>
          <t>yes</t>
        </is>
      </c>
      <c r="J320" s="2" t="inlineStr">
        <is>
          <t>yes</t>
        </is>
      </c>
      <c r="K320" s="2" t="inlineStr">
        <is>
          <t>surveyor-vi-tv-scan.pdf</t>
        </is>
      </c>
      <c r="L320" s="2" t="inlineStr"/>
      <c r="M320"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21">
      <c r="A321" s="2" t="inlineStr">
        <is>
          <t>A2</t>
        </is>
      </c>
      <c r="B321" s="2" t="inlineStr">
        <is>
          <t>F3</t>
        </is>
      </c>
      <c r="C321" s="2" t="inlineStr">
        <is>
          <t>f3-q2</t>
        </is>
      </c>
      <c r="D321" s="2" t="inlineStr">
        <is>
          <t>Between which dates were the Surveyor VI television pictures transmitted?</t>
        </is>
      </c>
      <c r="E321" s="2" t="inlineStr">
        <is>
          <t>ocr</t>
        </is>
      </c>
      <c r="F321" s="2" t="inlineStr">
        <is>
          <t>november 10 and november 24, 1967</t>
        </is>
      </c>
      <c r="G321" s="2" t="inlineStr">
        <is>
          <t>A2</t>
        </is>
      </c>
      <c r="H321" s="2" t="n">
        <v>1</v>
      </c>
      <c r="I321" s="2" t="inlineStr">
        <is>
          <t>yes</t>
        </is>
      </c>
      <c r="J321" s="2" t="inlineStr">
        <is>
          <t>yes</t>
        </is>
      </c>
      <c r="K321" s="2" t="inlineStr">
        <is>
          <t>surveyor-vi-tv-scan.pdf</t>
        </is>
      </c>
      <c r="L321" s="2" t="inlineStr"/>
      <c r="M321"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22">
      <c r="A322" s="2" t="inlineStr">
        <is>
          <t>A2</t>
        </is>
      </c>
      <c r="B322" s="2" t="inlineStr">
        <is>
          <t>F3</t>
        </is>
      </c>
      <c r="C322" s="2" t="inlineStr">
        <is>
          <t>f3-q3</t>
        </is>
      </c>
      <c r="D322" s="2" t="inlineStr">
        <is>
          <t>How many mosaics are included in Part III?</t>
        </is>
      </c>
      <c r="E322" s="2" t="inlineStr">
        <is>
          <t>ocr</t>
        </is>
      </c>
      <c r="F322" s="2" t="inlineStr">
        <is>
          <t>46 mosaics</t>
        </is>
      </c>
      <c r="G322" s="2" t="inlineStr">
        <is>
          <t>A2</t>
        </is>
      </c>
      <c r="H322" s="2" t="n">
        <v>1</v>
      </c>
      <c r="I322" s="2" t="inlineStr">
        <is>
          <t>yes</t>
        </is>
      </c>
      <c r="J322" s="2" t="inlineStr">
        <is>
          <t>yes</t>
        </is>
      </c>
      <c r="K322" s="2" t="inlineStr">
        <is>
          <t>surveyor-vi-tv-scan.pdf</t>
        </is>
      </c>
      <c r="L322" s="2" t="inlineStr"/>
      <c r="M322"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23">
      <c r="A323" s="2" t="inlineStr">
        <is>
          <t>A2</t>
        </is>
      </c>
      <c r="B323" s="2" t="inlineStr">
        <is>
          <t>F3</t>
        </is>
      </c>
      <c r="C323" s="2" t="inlineStr">
        <is>
          <t>f3-q4</t>
        </is>
      </c>
      <c r="D323" s="2" t="inlineStr">
        <is>
          <t>What is the mass of the Surveyor survey TV camera?</t>
        </is>
      </c>
      <c r="E323" s="2" t="inlineStr">
        <is>
          <t>ocr</t>
        </is>
      </c>
      <c r="F323" s="2" t="inlineStr">
        <is>
          <t>7.3-kg camera</t>
        </is>
      </c>
      <c r="G323" s="2" t="inlineStr">
        <is>
          <t>A2</t>
        </is>
      </c>
      <c r="H323" s="2" t="n">
        <v>3</v>
      </c>
      <c r="I323" s="2" t="inlineStr">
        <is>
          <t>no</t>
        </is>
      </c>
      <c r="J323" s="2" t="inlineStr">
        <is>
          <t>yes</t>
        </is>
      </c>
      <c r="K323" s="2" t="inlineStr">
        <is>
          <t>surveyor-vi-tv-scan.pdf</t>
        </is>
      </c>
      <c r="L323" s="2" t="inlineStr"/>
      <c r="M323" s="2" t="inlineStr">
        <is>
          <t>Il. Television Subsystem M. I. Smokler
The Surveyor TV system is designed to obtain video pictures of the lunar surface, lunar sky, and portions of the landed spacecraft. It includes a survey camera capable of panoramic viewing, and a TV auxiliary t</t>
        </is>
      </c>
    </row>
    <row r="324">
      <c r="A324" s="2" t="inlineStr">
        <is>
          <t>A2</t>
        </is>
      </c>
      <c r="B324" s="2" t="inlineStr">
        <is>
          <t>F3</t>
        </is>
      </c>
      <c r="C324" s="2" t="inlineStr">
        <is>
          <t>f3-q5</t>
        </is>
      </c>
      <c r="D324" s="2" t="inlineStr">
        <is>
          <t>Over what range can the Surveyor TV camera focus?</t>
        </is>
      </c>
      <c r="E324" s="2" t="inlineStr">
        <is>
          <t>ocr</t>
        </is>
      </c>
      <c r="F324" s="2" t="inlineStr">
        <is>
          <t>1.22 m to infinity</t>
        </is>
      </c>
      <c r="G324" s="2" t="inlineStr">
        <is>
          <t>A2</t>
        </is>
      </c>
      <c r="H324" s="2" t="n">
        <v>4</v>
      </c>
      <c r="I324" s="2" t="inlineStr">
        <is>
          <t>no</t>
        </is>
      </c>
      <c r="J324" s="2" t="inlineStr">
        <is>
          <t>yes</t>
        </is>
      </c>
      <c r="K324" s="2" t="inlineStr">
        <is>
          <t>surveyor-vi-tv-scan.pdf</t>
        </is>
      </c>
      <c r="L324" s="2" t="inlineStr"/>
      <c r="M324" s="2" t="inlineStr">
        <is>
          <t xml:space="preserve"> was capable of providing either a
Fig. II-5. Variable-focal-length lens assembly
100-mm or 25-mm focal length, resulting in a vertical field of view of approximately 6.43 or 25.3 deg, respectively, as measured by the angular subtense of the vertic</t>
        </is>
      </c>
    </row>
    <row r="325">
      <c r="A325" s="2" t="inlineStr">
        <is>
          <t>A2</t>
        </is>
      </c>
      <c r="B325" s="2" t="inlineStr">
        <is>
          <t>F3</t>
        </is>
      </c>
      <c r="C325" s="2" t="inlineStr">
        <is>
          <t>f3-q6</t>
        </is>
      </c>
      <c r="D325" s="2" t="inlineStr">
        <is>
          <t>What scene luminance range is the Surveyor camera designed to accommodate?</t>
        </is>
      </c>
      <c r="E325" s="2" t="inlineStr">
        <is>
          <t>ocr</t>
        </is>
      </c>
      <c r="F325" s="2" t="inlineStr">
        <is>
          <t>0.008 to 2600 ft-l</t>
        </is>
      </c>
      <c r="G325" s="2" t="inlineStr">
        <is>
          <t>A2</t>
        </is>
      </c>
      <c r="H325" s="2" t="n">
        <v>1</v>
      </c>
      <c r="I325" s="2" t="inlineStr">
        <is>
          <t>yes</t>
        </is>
      </c>
      <c r="J325" s="2" t="inlineStr">
        <is>
          <t>yes</t>
        </is>
      </c>
      <c r="K325" s="2" t="inlineStr">
        <is>
          <t>surveyor-vi-tv-scan.pdf</t>
        </is>
      </c>
      <c r="L325" s="2" t="inlineStr"/>
      <c r="M325" s="2" t="inlineStr">
        <is>
          <t xml:space="preserve">tification signals and to provide appropriate video mixing.
A. Camera Description
The slow-scan survey TV camera, shown in Figs. II-1 and II-2, provides images of the lunar surface over a 360-deg panorama. Each picture, or frame, is imaged through </t>
        </is>
      </c>
    </row>
    <row r="326">
      <c r="A326" s="2" t="inlineStr">
        <is>
          <t>A2</t>
        </is>
      </c>
      <c r="B326" s="2" t="inlineStr">
        <is>
          <t>F3</t>
        </is>
      </c>
      <c r="C326" s="2" t="inlineStr">
        <is>
          <t>f3-q7</t>
        </is>
      </c>
      <c r="D326" s="2" t="inlineStr">
        <is>
          <t>Which mission number in the Surveyor series was Surveyor VI?</t>
        </is>
      </c>
      <c r="E326" s="2" t="inlineStr">
        <is>
          <t>ocr</t>
        </is>
      </c>
      <c r="F326" s="2" t="inlineStr">
        <is>
          <t>the sixth in a series of unmanned lunar soft-landing missions</t>
        </is>
      </c>
      <c r="G326" s="2" t="inlineStr">
        <is>
          <t>A2</t>
        </is>
      </c>
      <c r="H326" s="2" t="n">
        <v>1</v>
      </c>
      <c r="I326" s="2" t="inlineStr">
        <is>
          <t>yes</t>
        </is>
      </c>
      <c r="J326" s="2" t="inlineStr">
        <is>
          <t>yes</t>
        </is>
      </c>
      <c r="K326" s="2" t="inlineStr">
        <is>
          <t>surveyor-vi-tv-scan.pdf</t>
        </is>
      </c>
      <c r="L326" s="2" t="inlineStr"/>
      <c r="M326" s="2" t="inlineStr">
        <is>
          <t>Preface
This three-part document constitutes the Project Mission Report on Surveyor VI, the sixth in a series of unmanned lunar soft-landing missions.
Part I of this Technical Report consists of a technical description and an evaluation of engineer</t>
        </is>
      </c>
    </row>
    <row r="327">
      <c r="A327" s="2" t="inlineStr">
        <is>
          <t>A2</t>
        </is>
      </c>
      <c r="B327" s="2" t="inlineStr">
        <is>
          <t>F3</t>
        </is>
      </c>
      <c r="C327" s="2" t="inlineStr">
        <is>
          <t>f3-q8</t>
        </is>
      </c>
      <c r="D327" s="2" t="inlineStr">
        <is>
          <t>What was the landing site latitude of Surveyor VII?</t>
        </is>
      </c>
      <c r="E327" s="2" t="inlineStr">
        <is>
          <t>unanswerable</t>
        </is>
      </c>
      <c r="F327" s="2" t="inlineStr">
        <is>
          <t>(not in source)</t>
        </is>
      </c>
      <c r="G327" s="2" t="inlineStr">
        <is>
          <t>A2</t>
        </is>
      </c>
      <c r="H327" s="2" t="n"/>
      <c r="I327" s="2" t="inlineStr">
        <is>
          <t>n/a</t>
        </is>
      </c>
      <c r="J327" s="2" t="inlineStr">
        <is>
          <t>n/a</t>
        </is>
      </c>
      <c r="K327" s="2" t="inlineStr">
        <is>
          <t>surveyor-vi-tv-scan.pdf</t>
        </is>
      </c>
      <c r="L327" s="2" t="inlineStr"/>
      <c r="M327" s="2" t="inlineStr">
        <is>
          <t>Preface
This three-part document constitutes the Project Mission Report on Surveyor VI, the sixth in a series of unmanned lunar soft-landing missions.
Part I of this Technical Report consists of a technical description and an evaluation of engineer</t>
        </is>
      </c>
    </row>
    <row r="328">
      <c r="A328" s="2" t="inlineStr">
        <is>
          <t>A2</t>
        </is>
      </c>
      <c r="B328" s="2" t="inlineStr">
        <is>
          <t>F2</t>
        </is>
      </c>
      <c r="C328" s="2" t="inlineStr">
        <is>
          <t>f2-q9</t>
        </is>
      </c>
      <c r="D328" s="2" t="inlineStr">
        <is>
          <t>According to Table A-2, what was the median household income for all races in 2015, in 2022 dollars?</t>
        </is>
      </c>
      <c r="E328" s="2" t="inlineStr">
        <is>
          <t>table</t>
        </is>
      </c>
      <c r="F328" s="2" t="inlineStr">
        <is>
          <t>2015 + 68,410</t>
        </is>
      </c>
      <c r="G328" s="2" t="inlineStr">
        <is>
          <t>A2</t>
        </is>
      </c>
      <c r="H328" s="2" t="n"/>
      <c r="I328" s="2" t="inlineStr">
        <is>
          <t>no</t>
        </is>
      </c>
      <c r="J328" s="2" t="inlineStr">
        <is>
          <t>no</t>
        </is>
      </c>
      <c r="K328" s="2" t="inlineStr">
        <is>
          <t>census-p60-279.pdf</t>
        </is>
      </c>
      <c r="L328" s="2" t="inlineStr">
        <is>
          <t>Income in the United States: 2022 &gt; HOUSEHOLD INCOME BY SELECTED CHARACTERISTICS &gt; All Households</t>
        </is>
      </c>
      <c r="M328" s="2" t="inlineStr">
        <is>
          <t>All Households
Real median household income 
was $74,580 in 2022, 2.3 percent 
lower than the 2021 estimate of 
$76,330. It was 4.7 percent lower 
than the 2019 median, the year 
before the start of the COVID-19 
pandemic and the corresponding 
rece</t>
        </is>
      </c>
    </row>
    <row r="329">
      <c r="A329" s="2" t="inlineStr">
        <is>
          <t>A2</t>
        </is>
      </c>
      <c r="B329" s="2" t="inlineStr">
        <is>
          <t>F2</t>
        </is>
      </c>
      <c r="C329" s="2" t="inlineStr">
        <is>
          <t>f2-q10</t>
        </is>
      </c>
      <c r="D329" s="2" t="inlineStr">
        <is>
          <t>According to Table A-2, what was the mean household income for all races in 1990, in 2022 dollars?</t>
        </is>
      </c>
      <c r="E329" s="2" t="inlineStr">
        <is>
          <t>table</t>
        </is>
      </c>
      <c r="F329" s="2" t="inlineStr">
        <is>
          <t>1990 + 76,820</t>
        </is>
      </c>
      <c r="G329" s="2" t="inlineStr">
        <is>
          <t>A2</t>
        </is>
      </c>
      <c r="H329" s="2" t="n"/>
      <c r="I329" s="2" t="inlineStr">
        <is>
          <t>no</t>
        </is>
      </c>
      <c r="J329" s="2" t="inlineStr">
        <is>
          <t>no</t>
        </is>
      </c>
      <c r="K329" s="2" t="inlineStr">
        <is>
          <t>census-p60-279.pdf</t>
        </is>
      </c>
      <c r="L329" s="2" t="inlineStr">
        <is>
          <t>Income in the United States: 2022 &gt; APPENDIX A. ESTIMATES OF INCOME &gt; Endnotes</t>
        </is>
      </c>
      <c r="M329" s="2" t="inlineStr">
        <is>
          <t>Table A-2. Households by Total Money Income, Race, and Hispanic Origin of Householder: 1967 to 2022—Con. (Income in 2022 dollars, adjusted using the C-CPI-U (2000–2022) and R-CPI-U-RS (pre-2000). Households as of March of the following year. Informat</t>
        </is>
      </c>
    </row>
    <row r="330">
      <c r="A330" s="2" t="inlineStr">
        <is>
          <t>A2</t>
        </is>
      </c>
      <c r="B330" s="2" t="inlineStr">
        <is>
          <t>F4</t>
        </is>
      </c>
      <c r="C330" s="2" t="inlineStr">
        <is>
          <t>f4-q1</t>
        </is>
      </c>
      <c r="D330" s="2" t="inlineStr">
        <is>
          <t>Combien de décès dus aux maladies de l'appareil circulatoire pour 100 000 habitants l'UE-28 comptait-elle en 2015 ?</t>
        </is>
      </c>
      <c r="E330" s="2" t="inlineStr">
        <is>
          <t>text</t>
        </is>
      </c>
      <c r="F330" s="2" t="inlineStr">
        <is>
          <t>381</t>
        </is>
      </c>
      <c r="G330" s="2" t="inlineStr">
        <is>
          <t>A2</t>
        </is>
      </c>
      <c r="H330" s="2" t="n"/>
      <c r="I330" s="2" t="inlineStr">
        <is>
          <t>no</t>
        </is>
      </c>
      <c r="J330" s="2" t="inlineStr">
        <is>
          <t>no</t>
        </is>
      </c>
      <c r="K330" s="2" t="inlineStr">
        <is>
          <t>eurostat-chiffres-cles-2019-fr.pdf</t>
        </is>
      </c>
      <c r="L330" s="2" t="inlineStr">
        <is>
          <t>Santé &gt; Décès causés par des maladies de l’appareil circulatoire (taux de mortalité standardisé pour 100 000 habitants par sexe, 2015)</t>
        </is>
      </c>
      <c r="M330" s="2" t="inlineStr">
        <is>
          <t>1 500
1 400
1 300
1 200
1 100
1 000
900
800
700
600
500
400
300
200
100</t>
        </is>
      </c>
    </row>
    <row r="331">
      <c r="A331" s="2" t="inlineStr">
        <is>
          <t>A2</t>
        </is>
      </c>
      <c r="B331" s="2" t="inlineStr">
        <is>
          <t>F4</t>
        </is>
      </c>
      <c r="C331" s="2" t="inlineStr">
        <is>
          <t>f4-q2</t>
        </is>
      </c>
      <c r="D331" s="2" t="inlineStr">
        <is>
          <t>En 2015, combien de fois plus de risques de mourir d'une maladie de l'appareil circulatoire avait une personne vivant en Bulgarie qu'une personne vivant en France ?</t>
        </is>
      </c>
      <c r="E331" s="2" t="inlineStr">
        <is>
          <t>text</t>
        </is>
      </c>
      <c r="F331" s="2" t="inlineStr">
        <is>
          <t>5,5 fois</t>
        </is>
      </c>
      <c r="G331" s="2" t="inlineStr">
        <is>
          <t>A2</t>
        </is>
      </c>
      <c r="H331" s="2" t="n">
        <v>1</v>
      </c>
      <c r="I331" s="2" t="inlineStr">
        <is>
          <t>yes</t>
        </is>
      </c>
      <c r="J331" s="2" t="inlineStr">
        <is>
          <t>yes</t>
        </is>
      </c>
      <c r="K331" s="2" t="inlineStr">
        <is>
          <t>eurostat-chiffres-cles-2019-fr.pdf</t>
        </is>
      </c>
      <c r="L331" s="2" t="inlineStr">
        <is>
          <t>Santé &gt; Hommes Les deux sexes Femmes</t>
        </is>
      </c>
      <c r="M331" s="2" t="inlineStr">
        <is>
          <t xml:space="preserve">Alors que les maladies de l’appareil circulatoire sont la première cause 
de décès au sein de l’UE‑28, d’importantes différences s’observaient 
entre les États membres de l’Union. Par exemple, en 2015, une personne 
vivant en Bulgarie avait 5,5 fois </t>
        </is>
      </c>
    </row>
    <row r="332">
      <c r="A332" s="2" t="inlineStr">
        <is>
          <t>A2</t>
        </is>
      </c>
      <c r="B332" s="2" t="inlineStr">
        <is>
          <t>F4</t>
        </is>
      </c>
      <c r="C332" s="2" t="inlineStr">
        <is>
          <t>f4-q3</t>
        </is>
      </c>
      <c r="D332" s="2" t="inlineStr">
        <is>
          <t>Quelle part des marchandises transportées dans l'UE-28 l'est par la route ?</t>
        </is>
      </c>
      <c r="E332" s="2" t="inlineStr">
        <is>
          <t>text</t>
        </is>
      </c>
      <c r="F332" s="2" t="inlineStr">
        <is>
          <t>77 % + par la route</t>
        </is>
      </c>
      <c r="G332" s="2" t="inlineStr">
        <is>
          <t>A2</t>
        </is>
      </c>
      <c r="H332" s="2" t="n">
        <v>1</v>
      </c>
      <c r="I332" s="2" t="inlineStr">
        <is>
          <t>yes</t>
        </is>
      </c>
      <c r="J332" s="2" t="inlineStr">
        <is>
          <t>yes</t>
        </is>
      </c>
      <c r="K332" s="2" t="inlineStr">
        <is>
          <t>eurostat-chiffres-cles-2019-fr.pdf</t>
        </is>
      </c>
      <c r="L332" s="2" t="inlineStr">
        <is>
          <t>Transport &gt; Chiffres clés sur l’Europe – Édition 2019  53</t>
        </is>
      </c>
      <c r="M332" s="2" t="inlineStr">
        <is>
          <t xml:space="preserve">|  |  |  |  |  |  |  |  |  |  |  |  |  |  |  |  |  |  |  |  |  |  |  |  |  |  |  |  |  |  |  |  |  |  | 77 % des marchandises transportées dans l’UE-28 par la route |  |  |  |  |  |  |  |  |  |  |  |  |  |  |  |
| --- | --- | --- | --- | --- | --- | </t>
        </is>
      </c>
    </row>
    <row r="333">
      <c r="A333" s="2" t="inlineStr">
        <is>
          <t>A2</t>
        </is>
      </c>
      <c r="B333" s="2" t="inlineStr">
        <is>
          <t>F4</t>
        </is>
      </c>
      <c r="C333" s="2" t="inlineStr">
        <is>
          <t>f4-q4</t>
        </is>
      </c>
      <c r="D333" s="2" t="inlineStr">
        <is>
          <t>De combien les émissions de gaz à effet de serre de l'UE-28 ont-elles baissé par rapport à 1990 ?</t>
        </is>
      </c>
      <c r="E333" s="2" t="inlineStr">
        <is>
          <t>text</t>
        </is>
      </c>
      <c r="F333" s="2" t="inlineStr">
        <is>
          <t>22 % + par rapport à 1990</t>
        </is>
      </c>
      <c r="G333" s="2" t="inlineStr">
        <is>
          <t>A2</t>
        </is>
      </c>
      <c r="H333" s="2" t="n"/>
      <c r="I333" s="2" t="inlineStr">
        <is>
          <t>no</t>
        </is>
      </c>
      <c r="J333" s="2" t="inlineStr">
        <is>
          <t>no</t>
        </is>
      </c>
      <c r="K333" s="2" t="inlineStr">
        <is>
          <t>eurostat-chiffres-cles-2019-fr.pdf</t>
        </is>
      </c>
      <c r="L333" s="2" t="inlineStr">
        <is>
          <t>Environnement &gt; dans l’UE‑28 2,4 % du PIB</t>
        </is>
      </c>
      <c r="M333" s="2" t="inlineStr">
        <is>
          <t xml:space="preserve">2,7 BG, MT, PL
L’indicateur relatif aux émissions de gaz à effet de serre retrace l’évolution des émissions d’origine 
humaine pour le panier de gaz à effet de serre du protocole de Kyoto. L’UE s’est engagée à réduire la 
quantité de gaz à effet de </t>
        </is>
      </c>
    </row>
    <row r="334">
      <c r="A334" s="2" t="inlineStr">
        <is>
          <t>A2</t>
        </is>
      </c>
      <c r="B334" s="2" t="inlineStr">
        <is>
          <t>F5</t>
        </is>
      </c>
      <c r="C334" s="2" t="inlineStr">
        <is>
          <t>f5-q1</t>
        </is>
      </c>
      <c r="D334" s="2" t="inlineStr">
        <is>
          <t>Who prepared the compilation of the 1950 water-use estimates in USGS Circular 115?</t>
        </is>
      </c>
      <c r="E334" s="2" t="inlineStr">
        <is>
          <t>ocr</t>
        </is>
      </c>
      <c r="F334" s="2" t="inlineStr">
        <is>
          <t>MacKichan</t>
        </is>
      </c>
      <c r="G334" s="2" t="inlineStr">
        <is>
          <t>A2</t>
        </is>
      </c>
      <c r="H334" s="2" t="n">
        <v>1</v>
      </c>
      <c r="I334" s="2" t="inlineStr">
        <is>
          <t>yes</t>
        </is>
      </c>
      <c r="J334" s="2" t="inlineStr">
        <is>
          <t>yes</t>
        </is>
      </c>
      <c r="K334" s="2" t="inlineStr">
        <is>
          <t>usgs-circ115-scan.pdf</t>
        </is>
      </c>
      <c r="L334" s="2" t="inlineStr"/>
      <c r="M334" s="2" t="inlineStr">
        <is>
          <t>information available, the estimates in this report are, in general, rough approximations of the quantity of water used. The estimate for municipal use is probably the most accurrate and that for industrial surface water use the least accurate. It is</t>
        </is>
      </c>
    </row>
    <row r="335">
      <c r="A335" s="2" t="inlineStr">
        <is>
          <t>A2</t>
        </is>
      </c>
      <c r="B335" s="2" t="inlineStr">
        <is>
          <t>F5</t>
        </is>
      </c>
      <c r="C335" s="2" t="inlineStr">
        <is>
          <t>f5-q2</t>
        </is>
      </c>
      <c r="D335" s="2" t="inlineStr">
        <is>
          <t>According to Table 1 of USGS Circular 115, how much surface water did municipalities in Illinois use in 1950 (mgd)?</t>
        </is>
      </c>
      <c r="E335" s="2" t="inlineStr">
        <is>
          <t>ocr</t>
        </is>
      </c>
      <c r="F335" s="2" t="inlineStr">
        <is>
          <t>Illinois + 1,070</t>
        </is>
      </c>
      <c r="G335" s="2" t="inlineStr">
        <is>
          <t>A2</t>
        </is>
      </c>
      <c r="H335" s="2" t="n"/>
      <c r="I335" s="2" t="inlineStr">
        <is>
          <t>no</t>
        </is>
      </c>
      <c r="J335" s="2" t="inlineStr">
        <is>
          <t>no</t>
        </is>
      </c>
      <c r="K335" s="2" t="inlineStr">
        <is>
          <t>usgs-circ115-scan.pdf</t>
        </is>
      </c>
      <c r="L335" s="2" t="inlineStr"/>
      <c r="M335" s="2" t="inlineStr">
        <is>
          <t xml:space="preserve">4
during 1950 is given in table 1 and is shown graphically in figures 2 to 6. The estimates are for the five types of uses by States and by source of supply, ground water or surface water.
MUNICIPAL USE
Municipal water systems served 93.5 million </t>
        </is>
      </c>
    </row>
    <row r="336">
      <c r="A336" s="2" t="inlineStr">
        <is>
          <t>A2</t>
        </is>
      </c>
      <c r="B336" s="2" t="inlineStr">
        <is>
          <t>F5</t>
        </is>
      </c>
      <c r="C336" s="2" t="inlineStr">
        <is>
          <t>f5-q3</t>
        </is>
      </c>
      <c r="D336" s="2" t="inlineStr">
        <is>
          <t>According to Table 1 of USGS Circular 115, how much ground water did municipalities in Kansas use in 1950 (mgd)?</t>
        </is>
      </c>
      <c r="E336" s="2" t="inlineStr">
        <is>
          <t>ocr</t>
        </is>
      </c>
      <c r="F336" s="2" t="inlineStr">
        <is>
          <t>Kansas + 75</t>
        </is>
      </c>
      <c r="G336" s="2" t="inlineStr">
        <is>
          <t>A2</t>
        </is>
      </c>
      <c r="H336" s="2" t="n">
        <v>2</v>
      </c>
      <c r="I336" s="2" t="inlineStr">
        <is>
          <t>no</t>
        </is>
      </c>
      <c r="J336" s="2" t="inlineStr">
        <is>
          <t>yes</t>
        </is>
      </c>
      <c r="K336" s="2" t="inlineStr">
        <is>
          <t>usgs-circ115-scan.pdf</t>
        </is>
      </c>
      <c r="L336" s="2" t="inlineStr"/>
      <c r="M336" s="2" t="inlineStr">
        <is>
          <t xml:space="preserve">4
during 1950 is given in table 1 and is shown graphically in figures 2 to 6. The estimates are for the five types of uses by States and by source of supply, ground water or surface water.
MUNICIPAL USE
Municipal water systems served 93.5 million </t>
        </is>
      </c>
    </row>
    <row r="337">
      <c r="A337" s="2" t="inlineStr">
        <is>
          <t>A2</t>
        </is>
      </c>
      <c r="B337" s="2" t="inlineStr">
        <is>
          <t>F6</t>
        </is>
      </c>
      <c r="C337" s="2" t="inlineStr">
        <is>
          <t>f6-q1</t>
        </is>
      </c>
      <c r="D337" s="2" t="inlineStr">
        <is>
          <t>What is the word limit for section A3.2, on tackling potholes, in the DfT highways maintenance transparency report template?</t>
        </is>
      </c>
      <c r="E337" s="2" t="inlineStr">
        <is>
          <t>text</t>
        </is>
      </c>
      <c r="F337" s="2" t="inlineStr">
        <is>
          <t>tackle potholes + 250 words</t>
        </is>
      </c>
      <c r="G337" s="2" t="inlineStr">
        <is>
          <t>A2</t>
        </is>
      </c>
      <c r="H337" s="2" t="n"/>
      <c r="I337" s="2" t="inlineStr">
        <is>
          <t>no</t>
        </is>
      </c>
      <c r="J337" s="2" t="inlineStr">
        <is>
          <t>no</t>
        </is>
      </c>
      <c r="K337" s="2" t="inlineStr">
        <is>
          <t>dft-highways-maintenance-report-template.docx</t>
        </is>
      </c>
      <c r="L337" s="2" t="inlineStr">
        <is>
          <t>How we maintain local roads, pavements, and the wider highway network in [LHA name] &gt; A3 – What we are doing about potholes and other road defects</t>
        </is>
      </c>
      <c r="M337" s="2" t="inlineStr">
        <is>
          <t>ions which mean that not all defects can be resolved permanently the first time.
Word limit – 250 words
A3.3. How members of public can report potholes and other highway defects
Guidance - Please set out how the public can report potholes and othe</t>
        </is>
      </c>
    </row>
    <row r="338">
      <c r="A338" s="2" t="inlineStr">
        <is>
          <t>A2</t>
        </is>
      </c>
      <c r="B338" s="2" t="inlineStr">
        <is>
          <t>F6</t>
        </is>
      </c>
      <c r="C338" s="2" t="inlineStr">
        <is>
          <t>f6-q2</t>
        </is>
      </c>
      <c r="D338" s="2" t="inlineStr">
        <is>
          <t>Into which asset categories does table A4.1 of the DfT template break down spending on highways maintenance?</t>
        </is>
      </c>
      <c r="E338" s="2" t="inlineStr">
        <is>
          <t>table</t>
        </is>
      </c>
      <c r="F338" s="2" t="inlineStr">
        <is>
          <t>street lighting + drainage</t>
        </is>
      </c>
      <c r="G338" s="2" t="inlineStr">
        <is>
          <t>A2</t>
        </is>
      </c>
      <c r="H338" s="2" t="n">
        <v>1</v>
      </c>
      <c r="I338" s="2" t="inlineStr">
        <is>
          <t>yes</t>
        </is>
      </c>
      <c r="J338" s="2" t="inlineStr">
        <is>
          <t>yes</t>
        </is>
      </c>
      <c r="K338" s="2" t="inlineStr">
        <is>
          <t>dft-highways-maintenance-report-template.docx</t>
        </is>
      </c>
      <c r="L338" s="2" t="inlineStr">
        <is>
          <t>How we maintain local roads, pavements, and the wider highway network in [LHA name] &gt; A4 – What we spend to maintain the highway network and where the funding is coming from</t>
        </is>
      </c>
      <c r="M338" s="2" t="inlineStr">
        <is>
          <t xml:space="preserve">A4 – What we spend to maintain the highway network and where the funding is coming from
A4.1. – Spending on highways maintenance
|  | 2024-25 | 2025-26 | 2026-27 (projected) |
| --- | --- | --- | --- |
| Total spend on highways maintenance | £ | £ </t>
        </is>
      </c>
    </row>
    <row r="339">
      <c r="A339" s="2" t="inlineStr">
        <is>
          <t>A2</t>
        </is>
      </c>
      <c r="B339" s="2" t="inlineStr">
        <is>
          <t>F7</t>
        </is>
      </c>
      <c r="C339" s="2" t="inlineStr">
        <is>
          <t>f7-q1</t>
        </is>
      </c>
      <c r="D339" s="2" t="inlineStr">
        <is>
          <t>In the Prevent risk assessment example matrix, what score range counts as medium risk?</t>
        </is>
      </c>
      <c r="E339" s="2" t="inlineStr">
        <is>
          <t>table</t>
        </is>
      </c>
      <c r="F339" s="2" t="inlineStr">
        <is>
          <t>medium risk + 7 to 11</t>
        </is>
      </c>
      <c r="G339" s="2" t="inlineStr">
        <is>
          <t>A2</t>
        </is>
      </c>
      <c r="H339" s="2" t="n">
        <v>1</v>
      </c>
      <c r="I339" s="2" t="inlineStr">
        <is>
          <t>yes</t>
        </is>
      </c>
      <c r="J339" s="2" t="inlineStr">
        <is>
          <t>yes</t>
        </is>
      </c>
      <c r="K339" s="2" t="inlineStr">
        <is>
          <t>prevent-risk-assessment-slides.pptx</t>
        </is>
      </c>
      <c r="L339" s="2" t="inlineStr"/>
      <c r="M339" s="2" t="inlineStr">
        <is>
          <t>An example of a risk assessment matrix
| Low risk | 1 to 6 |
| --- | --- |
| Medium risk | 7 to 11 |
| High risk | 12 + |
| Probability | Rating | Severity of impact | Rating |
| --- | --- | --- | --- |
| Almost certain | 5 | Catastrophic | 5 |
| V</t>
        </is>
      </c>
    </row>
    <row r="340">
      <c r="A340" s="2" t="inlineStr">
        <is>
          <t>A2</t>
        </is>
      </c>
      <c r="B340" s="2" t="inlineStr">
        <is>
          <t>F7</t>
        </is>
      </c>
      <c r="C340" s="2" t="inlineStr">
        <is>
          <t>f7-q2</t>
        </is>
      </c>
      <c r="D340" s="2" t="inlineStr">
        <is>
          <t>In the Prevent risk assessment matrix, which severity of impact has the same rating as a 'Very likely' probability?</t>
        </is>
      </c>
      <c r="E340" s="2" t="inlineStr">
        <is>
          <t>table</t>
        </is>
      </c>
      <c r="F340" s="2" t="inlineStr">
        <is>
          <t>very likely + major</t>
        </is>
      </c>
      <c r="G340" s="2" t="inlineStr">
        <is>
          <t>A2</t>
        </is>
      </c>
      <c r="H340" s="2" t="n">
        <v>1</v>
      </c>
      <c r="I340" s="2" t="inlineStr">
        <is>
          <t>yes</t>
        </is>
      </c>
      <c r="J340" s="2" t="inlineStr">
        <is>
          <t>yes</t>
        </is>
      </c>
      <c r="K340" s="2" t="inlineStr">
        <is>
          <t>prevent-risk-assessment-slides.pptx</t>
        </is>
      </c>
      <c r="L340" s="2" t="inlineStr"/>
      <c r="M340" s="2" t="inlineStr">
        <is>
          <t>An example of a risk assessment matrix
| Low risk | 1 to 6 |
| --- | --- |
| Medium risk | 7 to 11 |
| High risk | 12 + |
| Probability | Rating | Severity of impact | Rating |
| --- | --- | --- | --- |
| Almost certain | 5 | Catastrophic | 5 |
| V</t>
        </is>
      </c>
    </row>
    <row r="341">
      <c r="A341" s="2" t="inlineStr">
        <is>
          <t>A2</t>
        </is>
      </c>
      <c r="B341" s="2" t="inlineStr">
        <is>
          <t>F7</t>
        </is>
      </c>
      <c r="C341" s="2" t="inlineStr">
        <is>
          <t>f7-q3</t>
        </is>
      </c>
      <c r="D341" s="2" t="inlineStr">
        <is>
          <t>According to the Prevent slides, on what scale are the severity and likelihood of risks usually ranked?</t>
        </is>
      </c>
      <c r="E341" s="2" t="inlineStr">
        <is>
          <t>table</t>
        </is>
      </c>
      <c r="F341" s="2" t="inlineStr">
        <is>
          <t>1-5 scale</t>
        </is>
      </c>
      <c r="G341" s="2" t="inlineStr">
        <is>
          <t>A2</t>
        </is>
      </c>
      <c r="H341" s="2" t="n">
        <v>3</v>
      </c>
      <c r="I341" s="2" t="inlineStr">
        <is>
          <t>no</t>
        </is>
      </c>
      <c r="J341" s="2" t="inlineStr">
        <is>
          <t>yes</t>
        </is>
      </c>
      <c r="K341" s="2" t="inlineStr">
        <is>
          <t>prevent-risk-assessment-slides.pptx</t>
        </is>
      </c>
      <c r="L341" s="2" t="inlineStr"/>
      <c r="M341" s="2" t="inlineStr">
        <is>
          <t>An example of a risk assessment matrix
| Low risk | 1 to 6 |
| --- | --- |
| Medium risk | 7 to 11 |
| High risk | 12 + |
| Probability | Rating | Severity of impact | Rating |
| --- | --- | --- | --- |
| Almost certain | 5 | Catastrophic | 5 |
| V</t>
        </is>
      </c>
    </row>
    <row r="342">
      <c r="A342" s="2" t="inlineStr">
        <is>
          <t>A2</t>
        </is>
      </c>
      <c r="B342" s="2" t="inlineStr">
        <is>
          <t>F7</t>
        </is>
      </c>
      <c r="C342" s="2" t="inlineStr">
        <is>
          <t>f7-q4</t>
        </is>
      </c>
      <c r="D342" s="2" t="inlineStr">
        <is>
          <t>What score marks a critical risk in the Prevent risk assessment matrix?</t>
        </is>
      </c>
      <c r="E342" s="2" t="inlineStr">
        <is>
          <t>unanswerable</t>
        </is>
      </c>
      <c r="F342" s="2" t="inlineStr">
        <is>
          <t>(not in source)</t>
        </is>
      </c>
      <c r="G342" s="2" t="inlineStr">
        <is>
          <t>A2</t>
        </is>
      </c>
      <c r="H342" s="2" t="n"/>
      <c r="I342" s="2" t="inlineStr">
        <is>
          <t>n/a</t>
        </is>
      </c>
      <c r="J342" s="2" t="inlineStr">
        <is>
          <t>n/a</t>
        </is>
      </c>
      <c r="K342" s="2" t="inlineStr">
        <is>
          <t>prevent-risk-assessment-slides.pptx</t>
        </is>
      </c>
      <c r="L342" s="2" t="inlineStr"/>
      <c r="M342" s="2" t="inlineStr">
        <is>
          <t>An example of a risk assessment matrix
| Low risk | 1 to 6 |
| --- | --- |
| Medium risk | 7 to 11 |
| High risk | 12 + |
| Probability | Rating | Severity of impact | Rating |
| --- | --- | --- | --- |
| Almost certain | 5 | Catastrophic | 5 |
| V</t>
        </is>
      </c>
    </row>
    <row r="343">
      <c r="A343" s="2" t="inlineStr">
        <is>
          <t>A2</t>
        </is>
      </c>
      <c r="B343" s="2" t="inlineStr">
        <is>
          <t>F5</t>
        </is>
      </c>
      <c r="C343" s="2" t="inlineStr">
        <is>
          <t>f5-q4</t>
        </is>
      </c>
      <c r="D343" s="2" t="inlineStr">
        <is>
          <t>How much water did Alaska withdraw for irrigation in 1950 according to USGS Circular 115?</t>
        </is>
      </c>
      <c r="E343" s="2" t="inlineStr">
        <is>
          <t>unanswerable</t>
        </is>
      </c>
      <c r="F343" s="2" t="inlineStr">
        <is>
          <t>(not in source)</t>
        </is>
      </c>
      <c r="G343" s="2" t="inlineStr">
        <is>
          <t>A2</t>
        </is>
      </c>
      <c r="H343" s="2" t="n"/>
      <c r="I343" s="2" t="inlineStr">
        <is>
          <t>n/a</t>
        </is>
      </c>
      <c r="J343" s="2" t="inlineStr">
        <is>
          <t>n/a</t>
        </is>
      </c>
      <c r="K343" s="2" t="inlineStr">
        <is>
          <t>usgs-circ115-scan.pdf</t>
        </is>
      </c>
      <c r="L343" s="2" t="inlineStr"/>
      <c r="M343" s="2" t="inlineStr">
        <is>
          <t>TABLE 1.--ESTIMATED WITHDRAWAL USE OF WATER IN THE UNITED STATES, 1950
Rural 1/ Municipal Industrial 2/ Irrigational For water-
State (1,000 acre-feet power (1,000 Ground water/Surface water}/Ground water|Surface water|Ground water|Surface water Gro</t>
        </is>
      </c>
    </row>
    <row r="344">
      <c r="A344" s="2" t="inlineStr">
        <is>
          <t>A2</t>
        </is>
      </c>
      <c r="B344" s="2" t="inlineStr">
        <is>
          <t>F4</t>
        </is>
      </c>
      <c r="C344" s="2" t="inlineStr">
        <is>
          <t>f4-q5</t>
        </is>
      </c>
      <c r="D344" s="2" t="inlineStr">
        <is>
          <t>Quel était le taux de chômage au Japon en 2018 selon ce rapport ?</t>
        </is>
      </c>
      <c r="E344" s="2" t="inlineStr">
        <is>
          <t>unanswerable</t>
        </is>
      </c>
      <c r="F344" s="2" t="inlineStr">
        <is>
          <t>(not in source)</t>
        </is>
      </c>
      <c r="G344" s="2" t="inlineStr">
        <is>
          <t>A2</t>
        </is>
      </c>
      <c r="H344" s="2" t="n"/>
      <c r="I344" s="2" t="inlineStr">
        <is>
          <t>n/a</t>
        </is>
      </c>
      <c r="J344" s="2" t="inlineStr">
        <is>
          <t>n/a</t>
        </is>
      </c>
      <c r="K344" s="2" t="inlineStr">
        <is>
          <t>eurostat-chiffres-cles-2019-fr.pdf</t>
        </is>
      </c>
      <c r="L344" s="2" t="inlineStr">
        <is>
          <t>Marché du travail &gt; Taux de chômage 
(part en pourcentage de la population active âgée de 15 à 74 ans, 2018)</t>
        </is>
      </c>
      <c r="M344" s="2" t="inlineStr">
        <is>
          <t>Taux de chômage 
(part en pourcentage de la population active âgée de 15 à 74 ans, 2018)</t>
        </is>
      </c>
    </row>
    <row r="345">
      <c r="A345" s="2" t="inlineStr">
        <is>
          <t>A3</t>
        </is>
      </c>
      <c r="B345" s="2" t="inlineStr">
        <is>
          <t>F1</t>
        </is>
      </c>
      <c r="C345" s="2" t="inlineStr">
        <is>
          <t>f1-q1</t>
        </is>
      </c>
      <c r="D345" s="2" t="inlineStr">
        <is>
          <t>What are the layer, hidden size and attention head settings of BERT-base?</t>
        </is>
      </c>
      <c r="E345" s="2" t="inlineStr">
        <is>
          <t>text</t>
        </is>
      </c>
      <c r="F345" s="2" t="inlineStr">
        <is>
          <t>l=12, h=768, a=12</t>
        </is>
      </c>
      <c r="G345" s="2" t="inlineStr">
        <is>
          <t>A3</t>
        </is>
      </c>
      <c r="H345" s="2" t="n">
        <v>2</v>
      </c>
      <c r="I345" s="2" t="inlineStr">
        <is>
          <t>no</t>
        </is>
      </c>
      <c r="J345" s="2" t="inlineStr">
        <is>
          <t>yes</t>
        </is>
      </c>
      <c r="K345" s="2" t="inlineStr">
        <is>
          <t>acl-n19-1423-bert.pdf</t>
        </is>
      </c>
      <c r="L345" s="2" t="inlineStr">
        <is>
          <t>Language Understanding &gt; 5 Ablation Studies &gt; 5.3 Feature-based Approach with BERT</t>
        </is>
      </c>
      <c r="M345" s="2" t="inlineStr">
        <is>
          <t xml:space="preserve">.99 84.4 86.7 92.9 12 1024 16 3.54 85.7 86.9 93.3 24 1024 16 3.23 86.6 87.8 93.7
Table 6:
Ablation over BERT model size. #L = the
number of layers; #H = hidden size; #A = number of attention heads. “LM (ppl)” is the masked LM perplexity
of held-out </t>
        </is>
      </c>
    </row>
    <row r="346">
      <c r="A346" s="2" t="inlineStr">
        <is>
          <t>A3</t>
        </is>
      </c>
      <c r="B346" s="2" t="inlineStr">
        <is>
          <t>F1</t>
        </is>
      </c>
      <c r="C346" s="2" t="inlineStr">
        <is>
          <t>f1-q2</t>
        </is>
      </c>
      <c r="D346" s="2" t="inlineStr">
        <is>
          <t>What percentage of WordPiece tokens does BERT mask during pre-training?</t>
        </is>
      </c>
      <c r="E346" s="2" t="inlineStr">
        <is>
          <t>text</t>
        </is>
      </c>
      <c r="F346" s="2" t="inlineStr">
        <is>
          <t>15% of all wordpiece</t>
        </is>
      </c>
      <c r="G346" s="2" t="inlineStr">
        <is>
          <t>A3</t>
        </is>
      </c>
      <c r="H346" s="2" t="n">
        <v>2</v>
      </c>
      <c r="I346" s="2" t="inlineStr">
        <is>
          <t>no</t>
        </is>
      </c>
      <c r="J346" s="2" t="inlineStr">
        <is>
          <t>yes</t>
        </is>
      </c>
      <c r="K346" s="2" t="inlineStr">
        <is>
          <t>acl-n19-1423-bert.pdf</t>
        </is>
      </c>
      <c r="L346" s="2" t="inlineStr">
        <is>
          <t>Language Understanding &gt; 3 BERT &gt; 3.1 Pre-training BERT</t>
        </is>
      </c>
      <c r="M346" s="2" t="inlineStr">
        <is>
          <t>), we only predict the masked words rather than reconstructing the entire input.
Although this allows us to obtain a bidirectional pre-trained model, a downside is that we are creating a mismatch between pre-training and ﬁne-tuning, since the [MASK]</t>
        </is>
      </c>
    </row>
    <row r="347">
      <c r="A347" s="2" t="inlineStr">
        <is>
          <t>A3</t>
        </is>
      </c>
      <c r="B347" s="2" t="inlineStr">
        <is>
          <t>F1</t>
        </is>
      </c>
      <c r="C347" s="2" t="inlineStr">
        <is>
          <t>f1-q3</t>
        </is>
      </c>
      <c r="D347" s="2" t="inlineStr">
        <is>
          <t>What GLUE score did BERT reach?</t>
        </is>
      </c>
      <c r="E347" s="2" t="inlineStr">
        <is>
          <t>text</t>
        </is>
      </c>
      <c r="F347" s="2" t="inlineStr">
        <is>
          <t>glue score to 80.5%</t>
        </is>
      </c>
      <c r="G347" s="2" t="inlineStr">
        <is>
          <t>A3</t>
        </is>
      </c>
      <c r="H347" s="2" t="n">
        <v>5</v>
      </c>
      <c r="I347" s="2" t="inlineStr">
        <is>
          <t>no</t>
        </is>
      </c>
      <c r="J347" s="2" t="inlineStr">
        <is>
          <t>yes</t>
        </is>
      </c>
      <c r="K347" s="2" t="inlineStr">
        <is>
          <t>acl-n19-1423-bert.pdf</t>
        </is>
      </c>
      <c r="L347" s="2" t="inlineStr">
        <is>
          <t>Language Understanding &gt; 4 Experiments &gt; 4.1 GLUE</t>
        </is>
      </c>
      <c r="M347" s="2" t="inlineStr">
        <is>
          <t xml:space="preserve"> 85.8 88.9 66.4 79.6 BERTLARGE 86.7/85.9 72.1 92.7 94.9 60.5 86.5 89.3 70.1 82.1
Table 1: GLUE Test results, scored by the evaluation server (https://gluebenchmark.com/leaderboard).
The number below each task denotes the number of training examples.</t>
        </is>
      </c>
    </row>
    <row r="348">
      <c r="A348" s="2" t="inlineStr">
        <is>
          <t>A3</t>
        </is>
      </c>
      <c r="B348" s="2" t="inlineStr">
        <is>
          <t>F1</t>
        </is>
      </c>
      <c r="C348" s="2" t="inlineStr">
        <is>
          <t>f1-q4</t>
        </is>
      </c>
      <c r="D348" s="2" t="inlineStr">
        <is>
          <t>Which corpora were used to pre-train BERT?</t>
        </is>
      </c>
      <c r="E348" s="2" t="inlineStr">
        <is>
          <t>text</t>
        </is>
      </c>
      <c r="F348" s="2" t="inlineStr">
        <is>
          <t>bookscorpus (800m words)</t>
        </is>
      </c>
      <c r="G348" s="2" t="inlineStr">
        <is>
          <t>A3</t>
        </is>
      </c>
      <c r="H348" s="2" t="n">
        <v>1</v>
      </c>
      <c r="I348" s="2" t="inlineStr">
        <is>
          <t>yes</t>
        </is>
      </c>
      <c r="J348" s="2" t="inlineStr">
        <is>
          <t>yes</t>
        </is>
      </c>
      <c r="K348" s="2" t="inlineStr">
        <is>
          <t>acl-n19-1423-bert.pdf</t>
        </is>
      </c>
      <c r="L348" s="2" t="inlineStr">
        <is>
          <t>Language Understanding &gt; 3 BERT &gt; 3.1 Pre-training BERT</t>
        </is>
      </c>
      <c r="M348" s="2" t="inlineStr">
        <is>
          <t xml:space="preserve">ks, where BERT transfers all parameters to initialize end-task model parameters.
Pre-training data The pre-training procedure largely follows the existing literature on language model pre-training. For the pre-training corpus we use the BooksCorpus </t>
        </is>
      </c>
    </row>
    <row r="349">
      <c r="A349" s="2" t="inlineStr">
        <is>
          <t>A3</t>
        </is>
      </c>
      <c r="B349" s="2" t="inlineStr">
        <is>
          <t>F1</t>
        </is>
      </c>
      <c r="C349" s="2" t="inlineStr">
        <is>
          <t>f1-q5</t>
        </is>
      </c>
      <c r="D349" s="2" t="inlineStr">
        <is>
          <t>What SQuAD v1.1 Test F1 did BERT achieve?</t>
        </is>
      </c>
      <c r="E349" s="2" t="inlineStr">
        <is>
          <t>text</t>
        </is>
      </c>
      <c r="F349" s="2" t="inlineStr">
        <is>
          <t>93.2</t>
        </is>
      </c>
      <c r="G349" s="2" t="inlineStr">
        <is>
          <t>A3</t>
        </is>
      </c>
      <c r="H349" s="2" t="n">
        <v>2</v>
      </c>
      <c r="I349" s="2" t="inlineStr">
        <is>
          <t>no</t>
        </is>
      </c>
      <c r="J349" s="2" t="inlineStr">
        <is>
          <t>yes</t>
        </is>
      </c>
      <c r="K349" s="2" t="inlineStr">
        <is>
          <t>acl-n19-1423-bert.pdf</t>
        </is>
      </c>
      <c r="L349" s="2" t="inlineStr">
        <is>
          <t>Language Understanding &gt; 4 Experiments &gt; 4.2 SQuAD v1.1</t>
        </is>
      </c>
      <c r="M349" s="2" t="inlineStr">
        <is>
          <t xml:space="preserve">rst ﬁne-tuning on TriviaQA (Joshi
et al., 2017) befor ﬁne-tuning on SQuAD.
Our best performing system outperforms the top leaderboard system by +1.5 F1 in ensembling and +1.3 F1 as a single system. In fact, our single BERT model outperforms the top </t>
        </is>
      </c>
    </row>
    <row r="350">
      <c r="A350" s="2" t="inlineStr">
        <is>
          <t>A3</t>
        </is>
      </c>
      <c r="B350" s="2" t="inlineStr">
        <is>
          <t>F1</t>
        </is>
      </c>
      <c r="C350" s="2" t="inlineStr">
        <is>
          <t>f1-q6</t>
        </is>
      </c>
      <c r="D350" s="2" t="inlineStr">
        <is>
          <t>How many total parameters does BERT-large have?</t>
        </is>
      </c>
      <c r="E350" s="2" t="inlineStr">
        <is>
          <t>text</t>
        </is>
      </c>
      <c r="F350" s="2" t="inlineStr">
        <is>
          <t>total parameters=340m</t>
        </is>
      </c>
      <c r="G350" s="2" t="inlineStr">
        <is>
          <t>A3</t>
        </is>
      </c>
      <c r="H350" s="2" t="n">
        <v>2</v>
      </c>
      <c r="I350" s="2" t="inlineStr">
        <is>
          <t>no</t>
        </is>
      </c>
      <c r="J350" s="2" t="inlineStr">
        <is>
          <t>yes</t>
        </is>
      </c>
      <c r="K350" s="2" t="inlineStr">
        <is>
          <t>acl-n19-1423-bert.pdf</t>
        </is>
      </c>
      <c r="L350" s="2" t="inlineStr">
        <is>
          <t>Language Understanding &gt; 5 Ablation Studies &gt; 5.2 Effect of Model Size</t>
        </is>
      </c>
      <c r="M350" s="2" t="inlineStr">
        <is>
          <t>e literature is (L=64, H=512, A=2) with 235M parameters (Al-Rfou et al., 2018). 
By contrast, BERTBASE contains 110M parameters and BERTLARGE contains 340M parameters.
It has long been known that increasing the model size will lead to continual imp</t>
        </is>
      </c>
    </row>
    <row r="351">
      <c r="A351" s="2" t="inlineStr">
        <is>
          <t>A3</t>
        </is>
      </c>
      <c r="B351" s="2" t="inlineStr">
        <is>
          <t>F1</t>
        </is>
      </c>
      <c r="C351" s="2" t="inlineStr">
        <is>
          <t>f1-q7</t>
        </is>
      </c>
      <c r="D351" s="2" t="inlineStr">
        <is>
          <t>How many GPUs were used to train GPT-4?</t>
        </is>
      </c>
      <c r="E351" s="2" t="inlineStr">
        <is>
          <t>unanswerable</t>
        </is>
      </c>
      <c r="F351" s="2" t="inlineStr">
        <is>
          <t>(not in source)</t>
        </is>
      </c>
      <c r="G351" s="2" t="inlineStr">
        <is>
          <t>A3</t>
        </is>
      </c>
      <c r="H351" s="2" t="n"/>
      <c r="I351" s="2" t="inlineStr">
        <is>
          <t>n/a</t>
        </is>
      </c>
      <c r="J351" s="2" t="inlineStr">
        <is>
          <t>n/a</t>
        </is>
      </c>
      <c r="K351" s="2" t="inlineStr">
        <is>
          <t>acl-n19-1423-bert.pdf</t>
        </is>
      </c>
      <c r="L351" s="2" t="inlineStr">
        <is>
          <t>Language Understanding &gt; 5 Ablation Studies &gt; 5.2 Effect of Model Size</t>
        </is>
      </c>
      <c r="M351" s="2" t="inlineStr">
        <is>
          <t>Results on selected GLUE tasks are shown in Table 6. In this table, we report the average Dev Set accuracy from 5 random restarts of ﬁne-tuning. We can see that larger models lead to a strict accuracy improvement across all four datasets, even for MR</t>
        </is>
      </c>
    </row>
    <row r="352">
      <c r="A352" s="2" t="inlineStr">
        <is>
          <t>A3</t>
        </is>
      </c>
      <c r="B352" s="2" t="inlineStr">
        <is>
          <t>F2</t>
        </is>
      </c>
      <c r="C352" s="2" t="inlineStr">
        <is>
          <t>f2-q1</t>
        </is>
      </c>
      <c r="D352" s="2" t="inlineStr">
        <is>
          <t>What was real median household income in the United States in 2022?</t>
        </is>
      </c>
      <c r="E352" s="2" t="inlineStr">
        <is>
          <t>text</t>
        </is>
      </c>
      <c r="F352" s="2" t="inlineStr">
        <is>
          <t>$74,580</t>
        </is>
      </c>
      <c r="G352" s="2" t="inlineStr">
        <is>
          <t>A3</t>
        </is>
      </c>
      <c r="H352" s="2" t="n">
        <v>1</v>
      </c>
      <c r="I352" s="2" t="inlineStr">
        <is>
          <t>yes</t>
        </is>
      </c>
      <c r="J352" s="2" t="inlineStr">
        <is>
          <t>yes</t>
        </is>
      </c>
      <c r="K352" s="2" t="inlineStr">
        <is>
          <t>census-p60-279.pdf</t>
        </is>
      </c>
      <c r="L352" s="2" t="inlineStr">
        <is>
          <t>Income in the United States: 2022 &gt; HOUSEHOLD INCOME BY SELECTED CHARACTERISTICS &gt; All Households</t>
        </is>
      </c>
      <c r="M352" s="2" t="inlineStr">
        <is>
          <t>All Households
Real median household income 
was $74,580 in 2022, 2.3 percent 
lower than the 2021 estimate of 
$76,330. It was 4.7 percent lower 
than the 2019 median, the year 
before the start of the COVID-19 
pandemic and the corresponding 
rece</t>
        </is>
      </c>
    </row>
    <row r="353">
      <c r="A353" s="2" t="inlineStr">
        <is>
          <t>A3</t>
        </is>
      </c>
      <c r="B353" s="2" t="inlineStr">
        <is>
          <t>F2</t>
        </is>
      </c>
      <c r="C353" s="2" t="inlineStr">
        <is>
          <t>f2-q2</t>
        </is>
      </c>
      <c r="D353" s="2" t="inlineStr">
        <is>
          <t>By how much did real median household income change between 2021 and 2022?</t>
        </is>
      </c>
      <c r="E353" s="2" t="inlineStr">
        <is>
          <t>text</t>
        </is>
      </c>
      <c r="F353" s="2" t="inlineStr">
        <is>
          <t>2.3 percent</t>
        </is>
      </c>
      <c r="G353" s="2" t="inlineStr">
        <is>
          <t>A3</t>
        </is>
      </c>
      <c r="H353" s="2" t="n">
        <v>2</v>
      </c>
      <c r="I353" s="2" t="inlineStr">
        <is>
          <t>no</t>
        </is>
      </c>
      <c r="J353" s="2" t="inlineStr">
        <is>
          <t>yes</t>
        </is>
      </c>
      <c r="K353" s="2" t="inlineStr">
        <is>
          <t>census-p60-279.pdf</t>
        </is>
      </c>
      <c r="L353" s="2" t="inlineStr">
        <is>
          <t>Income in the United States: 2022 &gt; HOUSEHOLD INCOME BY SELECTED CHARACTERISTICS &gt; Change: 2021 to 2022
2022 Median Income</t>
        </is>
      </c>
      <c r="M353" s="2" t="inlineStr">
        <is>
          <t>Change: 2021 to 2022
2022 Median Income</t>
        </is>
      </c>
    </row>
    <row r="354">
      <c r="A354" s="2" t="inlineStr">
        <is>
          <t>A3</t>
        </is>
      </c>
      <c r="B354" s="2" t="inlineStr">
        <is>
          <t>F2</t>
        </is>
      </c>
      <c r="C354" s="2" t="inlineStr">
        <is>
          <t>f2-q3</t>
        </is>
      </c>
      <c r="D354" s="2" t="inlineStr">
        <is>
          <t>How did the money income Gini index change between 2021 and 2022?</t>
        </is>
      </c>
      <c r="E354" s="2" t="inlineStr">
        <is>
          <t>text</t>
        </is>
      </c>
      <c r="F354" s="2" t="inlineStr">
        <is>
          <t>from 0.494 to 0.488</t>
        </is>
      </c>
      <c r="G354" s="2" t="inlineStr">
        <is>
          <t>A3</t>
        </is>
      </c>
      <c r="H354" s="2" t="n">
        <v>1</v>
      </c>
      <c r="I354" s="2" t="inlineStr">
        <is>
          <t>yes</t>
        </is>
      </c>
      <c r="J354" s="2" t="inlineStr">
        <is>
          <t>yes</t>
        </is>
      </c>
      <c r="K354" s="2" t="inlineStr">
        <is>
          <t>census-p60-279.pdf</t>
        </is>
      </c>
      <c r="L354" s="2" t="inlineStr">
        <is>
          <t>Income in the United States: 2022 &gt; HOUSEHOLD INCOME BY SELECTED CHARACTERISTICS &gt; Money Income Inequality27</t>
        </is>
      </c>
      <c r="M354" s="2" t="inlineStr">
        <is>
          <t>Money Income Inequality27
The Gini index is a statistical measure of income inequality ranging 
from 0.0 to 1.0. It measures the 
amount that any two incomes 
differ, on average, relative to 
mean income. It is an indicator 
of how far apart or “spr</t>
        </is>
      </c>
    </row>
    <row r="355">
      <c r="A355" s="2" t="inlineStr">
        <is>
          <t>A3</t>
        </is>
      </c>
      <c r="B355" s="2" t="inlineStr">
        <is>
          <t>F2</t>
        </is>
      </c>
      <c r="C355" s="2" t="inlineStr">
        <is>
          <t>f2-q4</t>
        </is>
      </c>
      <c r="D355" s="2" t="inlineStr">
        <is>
          <t>What was the median income of married-couple households in 2022 according to Table A-1?</t>
        </is>
      </c>
      <c r="E355" s="2" t="inlineStr">
        <is>
          <t>table</t>
        </is>
      </c>
      <c r="F355" s="2" t="inlineStr">
        <is>
          <t>married-couple + 110,800</t>
        </is>
      </c>
      <c r="G355" s="2" t="inlineStr">
        <is>
          <t>A3</t>
        </is>
      </c>
      <c r="H355" s="2" t="n">
        <v>1</v>
      </c>
      <c r="I355" s="2" t="inlineStr">
        <is>
          <t>yes</t>
        </is>
      </c>
      <c r="J355" s="2" t="inlineStr">
        <is>
          <t>yes</t>
        </is>
      </c>
      <c r="K355" s="2" t="inlineStr">
        <is>
          <t>census-p60-279.pdf</t>
        </is>
      </c>
      <c r="L355" s="2" t="inlineStr">
        <is>
          <t>Income in the United States: 2022 &gt; HOUSEHOLD INCOME BY SELECTED CHARACTERISTICS &gt; Type of Household8</t>
        </is>
      </c>
      <c r="M355" s="2" t="inlineStr">
        <is>
          <t>Type of Household8
The 2022 real median income of 
family households declined by 
2.9 percent from 2021, and the 
real median income of married-couple families declined by 3.9 
percent. Among family households, married couples had the 
highest media</t>
        </is>
      </c>
    </row>
    <row r="356">
      <c r="A356" s="2" t="inlineStr">
        <is>
          <t>A3</t>
        </is>
      </c>
      <c r="B356" s="2" t="inlineStr">
        <is>
          <t>F2</t>
        </is>
      </c>
      <c r="C356" s="2" t="inlineStr">
        <is>
          <t>f2-q5</t>
        </is>
      </c>
      <c r="D356" s="2" t="inlineStr">
        <is>
          <t>What was the median income of family households in 2022 according to Table A-1?</t>
        </is>
      </c>
      <c r="E356" s="2" t="inlineStr">
        <is>
          <t>table</t>
        </is>
      </c>
      <c r="F356" s="2" t="inlineStr">
        <is>
          <t>family households + 95,450</t>
        </is>
      </c>
      <c r="G356" s="2" t="inlineStr">
        <is>
          <t>A3</t>
        </is>
      </c>
      <c r="H356" s="2" t="n">
        <v>1</v>
      </c>
      <c r="I356" s="2" t="inlineStr">
        <is>
          <t>yes</t>
        </is>
      </c>
      <c r="J356" s="2" t="inlineStr">
        <is>
          <t>yes</t>
        </is>
      </c>
      <c r="K356" s="2" t="inlineStr">
        <is>
          <t>census-p60-279.pdf</t>
        </is>
      </c>
      <c r="L356" s="2" t="inlineStr">
        <is>
          <t>Income in the United States: 2022 &gt; APPENDIX A. ESTIMATES OF INCOME &gt; Table A-1. Income Summary Measures by Selected Characteristics: 2021 and 2022</t>
        </is>
      </c>
      <c r="M356" s="2" t="inlineStr">
        <is>
          <t>2021 2022 Percent change in Median income Median income real median income Characteristic (dollars) Number (dollars) (2022 less 2021)* Number Margin of (thou Margin of Margin of (thousands) Estimate error1 (±) sands) Estimate error1 (±) Estimate erro</t>
        </is>
      </c>
    </row>
    <row r="357">
      <c r="A357" s="2" t="inlineStr">
        <is>
          <t>A3</t>
        </is>
      </c>
      <c r="B357" s="2" t="inlineStr">
        <is>
          <t>F2</t>
        </is>
      </c>
      <c r="C357" s="2" t="inlineStr">
        <is>
          <t>f2-q6</t>
        </is>
      </c>
      <c r="D357" s="2" t="inlineStr">
        <is>
          <t>What was the median income of nonfamily households in 2022 according to Table A-1?</t>
        </is>
      </c>
      <c r="E357" s="2" t="inlineStr">
        <is>
          <t>table</t>
        </is>
      </c>
      <c r="F357" s="2" t="inlineStr">
        <is>
          <t>nonfamily households + 45,440</t>
        </is>
      </c>
      <c r="G357" s="2" t="inlineStr">
        <is>
          <t>A3</t>
        </is>
      </c>
      <c r="H357" s="2" t="n">
        <v>1</v>
      </c>
      <c r="I357" s="2" t="inlineStr">
        <is>
          <t>yes</t>
        </is>
      </c>
      <c r="J357" s="2" t="inlineStr">
        <is>
          <t>yes</t>
        </is>
      </c>
      <c r="K357" s="2" t="inlineStr">
        <is>
          <t>census-p60-279.pdf</t>
        </is>
      </c>
      <c r="L357" s="2" t="inlineStr">
        <is>
          <t>Income in the United States: 2022 &gt; HOUSEHOLD INCOME BY SELECTED CHARACTERISTICS &gt; Type of Household8</t>
        </is>
      </c>
      <c r="M357" s="2" t="inlineStr">
        <is>
          <t>an 
income between these groups and 
non-Hispanic White households 
decreased.12
Nonfamily households had a 
median income of $45,440 in 
2022, which was not significantly 
different from 2021 (Figure 1 and 
Table A-1). Nonfamily households with a f</t>
        </is>
      </c>
    </row>
    <row r="358">
      <c r="A358" s="2" t="inlineStr">
        <is>
          <t>A3</t>
        </is>
      </c>
      <c r="B358" s="2" t="inlineStr">
        <is>
          <t>F2</t>
        </is>
      </c>
      <c r="C358" s="2" t="inlineStr">
        <is>
          <t>f2-q7</t>
        </is>
      </c>
      <c r="D358" s="2" t="inlineStr">
        <is>
          <t>What was the median household income in Canada in 2022?</t>
        </is>
      </c>
      <c r="E358" s="2" t="inlineStr">
        <is>
          <t>unanswerable</t>
        </is>
      </c>
      <c r="F358" s="2" t="inlineStr">
        <is>
          <t>(not in source)</t>
        </is>
      </c>
      <c r="G358" s="2" t="inlineStr">
        <is>
          <t>A3</t>
        </is>
      </c>
      <c r="H358" s="2" t="n"/>
      <c r="I358" s="2" t="inlineStr">
        <is>
          <t>n/a</t>
        </is>
      </c>
      <c r="J358" s="2" t="inlineStr">
        <is>
          <t>n/a</t>
        </is>
      </c>
      <c r="K358" s="2" t="inlineStr">
        <is>
          <t>census-p60-279.pdf</t>
        </is>
      </c>
      <c r="L358" s="2" t="inlineStr">
        <is>
          <t>Income in the United States: 2022 &gt; HOUSEHOLD INCOME BY SELECTED CHARACTERISTICS &gt; All Households</t>
        </is>
      </c>
      <c r="M358" s="2" t="inlineStr">
        <is>
          <t>All Households
Real median household income 
was $74,580 in 2022, 2.3 percent 
lower than the 2021 estimate of 
$76,330. It was 4.7 percent lower 
than the 2019 median, the year 
before the start of the COVID-19 
pandemic and the corresponding 
rece</t>
        </is>
      </c>
    </row>
    <row r="359">
      <c r="A359" s="2" t="inlineStr">
        <is>
          <t>A3</t>
        </is>
      </c>
      <c r="B359" s="2" t="inlineStr">
        <is>
          <t>F3</t>
        </is>
      </c>
      <c r="C359" s="2" t="inlineStr">
        <is>
          <t>f3-q1</t>
        </is>
      </c>
      <c r="D359" s="2" t="inlineStr">
        <is>
          <t>How many television pictures does Part III of the Surveyor VI report present?</t>
        </is>
      </c>
      <c r="E359" s="2" t="inlineStr">
        <is>
          <t>ocr</t>
        </is>
      </c>
      <c r="F359" s="2" t="inlineStr">
        <is>
          <t>139 of the total number</t>
        </is>
      </c>
      <c r="G359" s="2" t="inlineStr">
        <is>
          <t>A3</t>
        </is>
      </c>
      <c r="H359" s="2" t="n">
        <v>1</v>
      </c>
      <c r="I359" s="2" t="inlineStr">
        <is>
          <t>yes</t>
        </is>
      </c>
      <c r="J359" s="2" t="inlineStr">
        <is>
          <t>yes</t>
        </is>
      </c>
      <c r="K359" s="2" t="inlineStr">
        <is>
          <t>surveyor-vi-tv-scan.pdf</t>
        </is>
      </c>
      <c r="L359" s="2" t="inlineStr"/>
      <c r="M359"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60">
      <c r="A360" s="2" t="inlineStr">
        <is>
          <t>A3</t>
        </is>
      </c>
      <c r="B360" s="2" t="inlineStr">
        <is>
          <t>F3</t>
        </is>
      </c>
      <c r="C360" s="2" t="inlineStr">
        <is>
          <t>f3-q2</t>
        </is>
      </c>
      <c r="D360" s="2" t="inlineStr">
        <is>
          <t>Between which dates were the Surveyor VI television pictures transmitted?</t>
        </is>
      </c>
      <c r="E360" s="2" t="inlineStr">
        <is>
          <t>ocr</t>
        </is>
      </c>
      <c r="F360" s="2" t="inlineStr">
        <is>
          <t>november 10 and november 24, 1967</t>
        </is>
      </c>
      <c r="G360" s="2" t="inlineStr">
        <is>
          <t>A3</t>
        </is>
      </c>
      <c r="H360" s="2" t="n">
        <v>1</v>
      </c>
      <c r="I360" s="2" t="inlineStr">
        <is>
          <t>yes</t>
        </is>
      </c>
      <c r="J360" s="2" t="inlineStr">
        <is>
          <t>yes</t>
        </is>
      </c>
      <c r="K360" s="2" t="inlineStr">
        <is>
          <t>surveyor-vi-tv-scan.pdf</t>
        </is>
      </c>
      <c r="L360" s="2" t="inlineStr"/>
      <c r="M360"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61">
      <c r="A361" s="2" t="inlineStr">
        <is>
          <t>A3</t>
        </is>
      </c>
      <c r="B361" s="2" t="inlineStr">
        <is>
          <t>F3</t>
        </is>
      </c>
      <c r="C361" s="2" t="inlineStr">
        <is>
          <t>f3-q3</t>
        </is>
      </c>
      <c r="D361" s="2" t="inlineStr">
        <is>
          <t>How many mosaics are included in Part III?</t>
        </is>
      </c>
      <c r="E361" s="2" t="inlineStr">
        <is>
          <t>ocr</t>
        </is>
      </c>
      <c r="F361" s="2" t="inlineStr">
        <is>
          <t>46 mosaics</t>
        </is>
      </c>
      <c r="G361" s="2" t="inlineStr">
        <is>
          <t>A3</t>
        </is>
      </c>
      <c r="H361" s="2" t="n">
        <v>1</v>
      </c>
      <c r="I361" s="2" t="inlineStr">
        <is>
          <t>yes</t>
        </is>
      </c>
      <c r="J361" s="2" t="inlineStr">
        <is>
          <t>yes</t>
        </is>
      </c>
      <c r="K361" s="2" t="inlineStr">
        <is>
          <t>surveyor-vi-tv-scan.pdf</t>
        </is>
      </c>
      <c r="L361" s="2" t="inlineStr"/>
      <c r="M361" s="2" t="inlineStr">
        <is>
          <t>ists of selected pictures from Surveyor VI and appropriate explanatory material.
This Part III presents 139 of the total number of television pictures transmitted to earth from the lunar surface, between November 10 and November 24, 1967; 46 mosaics</t>
        </is>
      </c>
    </row>
    <row r="362">
      <c r="A362" s="2" t="inlineStr">
        <is>
          <t>A3</t>
        </is>
      </c>
      <c r="B362" s="2" t="inlineStr">
        <is>
          <t>F3</t>
        </is>
      </c>
      <c r="C362" s="2" t="inlineStr">
        <is>
          <t>f3-q4</t>
        </is>
      </c>
      <c r="D362" s="2" t="inlineStr">
        <is>
          <t>What is the mass of the Surveyor survey TV camera?</t>
        </is>
      </c>
      <c r="E362" s="2" t="inlineStr">
        <is>
          <t>ocr</t>
        </is>
      </c>
      <c r="F362" s="2" t="inlineStr">
        <is>
          <t>7.3-kg camera</t>
        </is>
      </c>
      <c r="G362" s="2" t="inlineStr">
        <is>
          <t>A3</t>
        </is>
      </c>
      <c r="H362" s="2" t="n">
        <v>3</v>
      </c>
      <c r="I362" s="2" t="inlineStr">
        <is>
          <t>no</t>
        </is>
      </c>
      <c r="J362" s="2" t="inlineStr">
        <is>
          <t>yes</t>
        </is>
      </c>
      <c r="K362" s="2" t="inlineStr">
        <is>
          <t>surveyor-vi-tv-scan.pdf</t>
        </is>
      </c>
      <c r="L362" s="2" t="inlineStr"/>
      <c r="M362" s="2" t="inlineStr">
        <is>
          <t>Il. Television Subsystem M. I. Smokler
The Surveyor TV system is designed to obtain video pictures of the lunar surface, lunar sky, and portions of the landed spacecraft. It includes a survey camera capable of panoramic viewing, and a TV auxiliary t</t>
        </is>
      </c>
    </row>
    <row r="363">
      <c r="A363" s="2" t="inlineStr">
        <is>
          <t>A3</t>
        </is>
      </c>
      <c r="B363" s="2" t="inlineStr">
        <is>
          <t>F3</t>
        </is>
      </c>
      <c r="C363" s="2" t="inlineStr">
        <is>
          <t>f3-q5</t>
        </is>
      </c>
      <c r="D363" s="2" t="inlineStr">
        <is>
          <t>Over what range can the Surveyor TV camera focus?</t>
        </is>
      </c>
      <c r="E363" s="2" t="inlineStr">
        <is>
          <t>ocr</t>
        </is>
      </c>
      <c r="F363" s="2" t="inlineStr">
        <is>
          <t>1.22 m to infinity</t>
        </is>
      </c>
      <c r="G363" s="2" t="inlineStr">
        <is>
          <t>A3</t>
        </is>
      </c>
      <c r="H363" s="2" t="n">
        <v>4</v>
      </c>
      <c r="I363" s="2" t="inlineStr">
        <is>
          <t>no</t>
        </is>
      </c>
      <c r="J363" s="2" t="inlineStr">
        <is>
          <t>yes</t>
        </is>
      </c>
      <c r="K363" s="2" t="inlineStr">
        <is>
          <t>surveyor-vi-tv-scan.pdf</t>
        </is>
      </c>
      <c r="L363" s="2" t="inlineStr"/>
      <c r="M363" s="2" t="inlineStr">
        <is>
          <t xml:space="preserve"> was capable of providing either a
Fig. II-5. Variable-focal-length lens assembly
100-mm or 25-mm focal length, resulting in a vertical field of view of approximately 6.43 or 25.3 deg, respectively, as measured by the angular subtense of the vertic</t>
        </is>
      </c>
    </row>
    <row r="364">
      <c r="A364" s="2" t="inlineStr">
        <is>
          <t>A3</t>
        </is>
      </c>
      <c r="B364" s="2" t="inlineStr">
        <is>
          <t>F3</t>
        </is>
      </c>
      <c r="C364" s="2" t="inlineStr">
        <is>
          <t>f3-q6</t>
        </is>
      </c>
      <c r="D364" s="2" t="inlineStr">
        <is>
          <t>What scene luminance range is the Surveyor camera designed to accommodate?</t>
        </is>
      </c>
      <c r="E364" s="2" t="inlineStr">
        <is>
          <t>ocr</t>
        </is>
      </c>
      <c r="F364" s="2" t="inlineStr">
        <is>
          <t>0.008 to 2600 ft-l</t>
        </is>
      </c>
      <c r="G364" s="2" t="inlineStr">
        <is>
          <t>A3</t>
        </is>
      </c>
      <c r="H364" s="2" t="n">
        <v>1</v>
      </c>
      <c r="I364" s="2" t="inlineStr">
        <is>
          <t>yes</t>
        </is>
      </c>
      <c r="J364" s="2" t="inlineStr">
        <is>
          <t>yes</t>
        </is>
      </c>
      <c r="K364" s="2" t="inlineStr">
        <is>
          <t>surveyor-vi-tv-scan.pdf</t>
        </is>
      </c>
      <c r="L364" s="2" t="inlineStr"/>
      <c r="M364" s="2" t="inlineStr">
        <is>
          <t xml:space="preserve">tification signals and to provide appropriate video mixing.
A. Camera Description
The slow-scan survey TV camera, shown in Figs. II-1 and II-2, provides images of the lunar surface over a 360-deg panorama. Each picture, or frame, is imaged through </t>
        </is>
      </c>
    </row>
    <row r="365">
      <c r="A365" s="2" t="inlineStr">
        <is>
          <t>A3</t>
        </is>
      </c>
      <c r="B365" s="2" t="inlineStr">
        <is>
          <t>F3</t>
        </is>
      </c>
      <c r="C365" s="2" t="inlineStr">
        <is>
          <t>f3-q7</t>
        </is>
      </c>
      <c r="D365" s="2" t="inlineStr">
        <is>
          <t>Which mission number in the Surveyor series was Surveyor VI?</t>
        </is>
      </c>
      <c r="E365" s="2" t="inlineStr">
        <is>
          <t>ocr</t>
        </is>
      </c>
      <c r="F365" s="2" t="inlineStr">
        <is>
          <t>the sixth in a series of unmanned lunar soft-landing missions</t>
        </is>
      </c>
      <c r="G365" s="2" t="inlineStr">
        <is>
          <t>A3</t>
        </is>
      </c>
      <c r="H365" s="2" t="n">
        <v>1</v>
      </c>
      <c r="I365" s="2" t="inlineStr">
        <is>
          <t>yes</t>
        </is>
      </c>
      <c r="J365" s="2" t="inlineStr">
        <is>
          <t>yes</t>
        </is>
      </c>
      <c r="K365" s="2" t="inlineStr">
        <is>
          <t>surveyor-vi-tv-scan.pdf</t>
        </is>
      </c>
      <c r="L365" s="2" t="inlineStr"/>
      <c r="M365" s="2" t="inlineStr">
        <is>
          <t>Preface
This three-part document constitutes the Project Mission Report on Surveyor VI, the sixth in a series of unmanned lunar soft-landing missions.
Part I of this Technical Report consists of a technical description and an evaluation of engineer</t>
        </is>
      </c>
    </row>
    <row r="366">
      <c r="A366" s="2" t="inlineStr">
        <is>
          <t>A3</t>
        </is>
      </c>
      <c r="B366" s="2" t="inlineStr">
        <is>
          <t>F3</t>
        </is>
      </c>
      <c r="C366" s="2" t="inlineStr">
        <is>
          <t>f3-q8</t>
        </is>
      </c>
      <c r="D366" s="2" t="inlineStr">
        <is>
          <t>What was the landing site latitude of Surveyor VII?</t>
        </is>
      </c>
      <c r="E366" s="2" t="inlineStr">
        <is>
          <t>unanswerable</t>
        </is>
      </c>
      <c r="F366" s="2" t="inlineStr">
        <is>
          <t>(not in source)</t>
        </is>
      </c>
      <c r="G366" s="2" t="inlineStr">
        <is>
          <t>A3</t>
        </is>
      </c>
      <c r="H366" s="2" t="n"/>
      <c r="I366" s="2" t="inlineStr">
        <is>
          <t>n/a</t>
        </is>
      </c>
      <c r="J366" s="2" t="inlineStr">
        <is>
          <t>n/a</t>
        </is>
      </c>
      <c r="K366" s="2" t="inlineStr">
        <is>
          <t>surveyor-vi-tv-scan.pdf</t>
        </is>
      </c>
      <c r="L366" s="2" t="inlineStr"/>
      <c r="M366" s="2" t="inlineStr">
        <is>
          <t>Preface
This three-part document constitutes the Project Mission Report on Surveyor VI, the sixth in a series of unmanned lunar soft-landing missions.
Part I of this Technical Report consists of a technical description and an evaluation of engineer</t>
        </is>
      </c>
    </row>
    <row r="367">
      <c r="A367" s="2" t="inlineStr">
        <is>
          <t>A3</t>
        </is>
      </c>
      <c r="B367" s="2" t="inlineStr">
        <is>
          <t>F2</t>
        </is>
      </c>
      <c r="C367" s="2" t="inlineStr">
        <is>
          <t>f2-q9</t>
        </is>
      </c>
      <c r="D367" s="2" t="inlineStr">
        <is>
          <t>According to Table A-2, what was the median household income for all races in 2015, in 2022 dollars?</t>
        </is>
      </c>
      <c r="E367" s="2" t="inlineStr">
        <is>
          <t>table</t>
        </is>
      </c>
      <c r="F367" s="2" t="inlineStr">
        <is>
          <t>2015 + 68,410</t>
        </is>
      </c>
      <c r="G367" s="2" t="inlineStr">
        <is>
          <t>A3</t>
        </is>
      </c>
      <c r="H367" s="2" t="n"/>
      <c r="I367" s="2" t="inlineStr">
        <is>
          <t>no</t>
        </is>
      </c>
      <c r="J367" s="2" t="inlineStr">
        <is>
          <t>no</t>
        </is>
      </c>
      <c r="K367" s="2" t="inlineStr">
        <is>
          <t>census-p60-279.pdf</t>
        </is>
      </c>
      <c r="L367" s="2" t="inlineStr">
        <is>
          <t>Income in the United States: 2022 &gt; HOUSEHOLD INCOME BY SELECTED CHARACTERISTICS &gt; Nativity16</t>
        </is>
      </c>
      <c r="M367" s="2" t="inlineStr">
        <is>
          <t xml:space="preserve">Figure 2.
Real Median Household Income by Race and Hispanic Origin: 1967 to 2022
(Households as of March of the following year)
2022 inﬂation-adjusted dollars Recession
120,000
110,000
100,000
90,000
80,000
Asian
70,000
White, not Hispanic
</t>
        </is>
      </c>
    </row>
    <row r="368">
      <c r="A368" s="2" t="inlineStr">
        <is>
          <t>A3</t>
        </is>
      </c>
      <c r="B368" s="2" t="inlineStr">
        <is>
          <t>F2</t>
        </is>
      </c>
      <c r="C368" s="2" t="inlineStr">
        <is>
          <t>f2-q10</t>
        </is>
      </c>
      <c r="D368" s="2" t="inlineStr">
        <is>
          <t>According to Table A-2, what was the mean household income for all races in 1990, in 2022 dollars?</t>
        </is>
      </c>
      <c r="E368" s="2" t="inlineStr">
        <is>
          <t>table</t>
        </is>
      </c>
      <c r="F368" s="2" t="inlineStr">
        <is>
          <t>1990 + 76,820</t>
        </is>
      </c>
      <c r="G368" s="2" t="inlineStr">
        <is>
          <t>A3</t>
        </is>
      </c>
      <c r="H368" s="2" t="n"/>
      <c r="I368" s="2" t="inlineStr">
        <is>
          <t>no</t>
        </is>
      </c>
      <c r="J368" s="2" t="inlineStr">
        <is>
          <t>no</t>
        </is>
      </c>
      <c r="K368" s="2" t="inlineStr">
        <is>
          <t>census-p60-279.pdf</t>
        </is>
      </c>
      <c r="L368" s="2" t="inlineStr">
        <is>
          <t>Income in the United States: 2022 &gt; HOUSEHOLD INCOME BY SELECTED CHARACTERISTICS &gt; Nativity16</t>
        </is>
      </c>
      <c r="M368" s="2" t="inlineStr">
        <is>
          <t xml:space="preserve">Figure 2.
Real Median Household Income by Race and Hispanic Origin: 1967 to 2022
(Households as of March of the following year)
2022 inﬂation-adjusted dollars Recession
120,000
110,000
100,000
90,000
80,000
Asian
70,000
White, not Hispanic
</t>
        </is>
      </c>
    </row>
    <row r="369">
      <c r="A369" s="2" t="inlineStr">
        <is>
          <t>A3</t>
        </is>
      </c>
      <c r="B369" s="2" t="inlineStr">
        <is>
          <t>F4</t>
        </is>
      </c>
      <c r="C369" s="2" t="inlineStr">
        <is>
          <t>f4-q1</t>
        </is>
      </c>
      <c r="D369" s="2" t="inlineStr">
        <is>
          <t>Combien de décès dus aux maladies de l'appareil circulatoire pour 100 000 habitants l'UE-28 comptait-elle en 2015 ?</t>
        </is>
      </c>
      <c r="E369" s="2" t="inlineStr">
        <is>
          <t>text</t>
        </is>
      </c>
      <c r="F369" s="2" t="inlineStr">
        <is>
          <t>381</t>
        </is>
      </c>
      <c r="G369" s="2" t="inlineStr">
        <is>
          <t>A3</t>
        </is>
      </c>
      <c r="H369" s="2" t="n"/>
      <c r="I369" s="2" t="inlineStr">
        <is>
          <t>no</t>
        </is>
      </c>
      <c r="J369" s="2" t="inlineStr">
        <is>
          <t>no</t>
        </is>
      </c>
      <c r="K369" s="2" t="inlineStr">
        <is>
          <t>eurostat-chiffres-cles-2019-fr.pdf</t>
        </is>
      </c>
      <c r="L369" s="2" t="inlineStr">
        <is>
          <t>Santé &gt; Décès causés par des maladies de l’appareil circulatoire (taux de mortalité standardisé pour 100 000 habitants par sexe, 2015)</t>
        </is>
      </c>
      <c r="M369" s="2" t="inlineStr">
        <is>
          <t>1 500
1 400
1 300</t>
        </is>
      </c>
    </row>
    <row r="370">
      <c r="A370" s="2" t="inlineStr">
        <is>
          <t>A3</t>
        </is>
      </c>
      <c r="B370" s="2" t="inlineStr">
        <is>
          <t>F4</t>
        </is>
      </c>
      <c r="C370" s="2" t="inlineStr">
        <is>
          <t>f4-q2</t>
        </is>
      </c>
      <c r="D370" s="2" t="inlineStr">
        <is>
          <t>En 2015, combien de fois plus de risques de mourir d'une maladie de l'appareil circulatoire avait une personne vivant en Bulgarie qu'une personne vivant en France ?</t>
        </is>
      </c>
      <c r="E370" s="2" t="inlineStr">
        <is>
          <t>text</t>
        </is>
      </c>
      <c r="F370" s="2" t="inlineStr">
        <is>
          <t>5,5 fois</t>
        </is>
      </c>
      <c r="G370" s="2" t="inlineStr">
        <is>
          <t>A3</t>
        </is>
      </c>
      <c r="H370" s="2" t="n">
        <v>1</v>
      </c>
      <c r="I370" s="2" t="inlineStr">
        <is>
          <t>yes</t>
        </is>
      </c>
      <c r="J370" s="2" t="inlineStr">
        <is>
          <t>yes</t>
        </is>
      </c>
      <c r="K370" s="2" t="inlineStr">
        <is>
          <t>eurostat-chiffres-cles-2019-fr.pdf</t>
        </is>
      </c>
      <c r="L370" s="2" t="inlineStr">
        <is>
          <t>Santé &gt; Hommes Les deux sexes Femmes</t>
        </is>
      </c>
      <c r="M370" s="2" t="inlineStr">
        <is>
          <t xml:space="preserve">Alors que les maladies de l’appareil circulatoire sont la première cause 
de décès au sein de l’UE‑28, d’importantes différences s’observaient 
entre les États membres de l’Union. Par exemple, en 2015, une personne 
vivant en Bulgarie avait 5,5 fois </t>
        </is>
      </c>
    </row>
    <row r="371">
      <c r="A371" s="2" t="inlineStr">
        <is>
          <t>A3</t>
        </is>
      </c>
      <c r="B371" s="2" t="inlineStr">
        <is>
          <t>F4</t>
        </is>
      </c>
      <c r="C371" s="2" t="inlineStr">
        <is>
          <t>f4-q3</t>
        </is>
      </c>
      <c r="D371" s="2" t="inlineStr">
        <is>
          <t>Quelle part des marchandises transportées dans l'UE-28 l'est par la route ?</t>
        </is>
      </c>
      <c r="E371" s="2" t="inlineStr">
        <is>
          <t>text</t>
        </is>
      </c>
      <c r="F371" s="2" t="inlineStr">
        <is>
          <t>77 % + par la route</t>
        </is>
      </c>
      <c r="G371" s="2" t="inlineStr">
        <is>
          <t>A3</t>
        </is>
      </c>
      <c r="H371" s="2" t="n">
        <v>2</v>
      </c>
      <c r="I371" s="2" t="inlineStr">
        <is>
          <t>no</t>
        </is>
      </c>
      <c r="J371" s="2" t="inlineStr">
        <is>
          <t>yes</t>
        </is>
      </c>
      <c r="K371" s="2" t="inlineStr">
        <is>
          <t>eurostat-chiffres-cles-2019-fr.pdf</t>
        </is>
      </c>
      <c r="L371" s="2" t="inlineStr">
        <is>
          <t>Transport &gt; UE‑28</t>
        </is>
      </c>
      <c r="M371" s="2" t="inlineStr">
        <is>
          <t>En 2017, le transport intérieur de marchandises au sein de l’UE‑28 (hors canalisations) était 
estimé à environ 2 500 milliards de tonnes-kilomètres. La grande majorité de ce total 
(76,7 %) était transportée par route; le reste était réparti entre l</t>
        </is>
      </c>
    </row>
    <row r="372">
      <c r="A372" s="2" t="inlineStr">
        <is>
          <t>A3</t>
        </is>
      </c>
      <c r="B372" s="2" t="inlineStr">
        <is>
          <t>F4</t>
        </is>
      </c>
      <c r="C372" s="2" t="inlineStr">
        <is>
          <t>f4-q4</t>
        </is>
      </c>
      <c r="D372" s="2" t="inlineStr">
        <is>
          <t>De combien les émissions de gaz à effet de serre de l'UE-28 ont-elles baissé par rapport à 1990 ?</t>
        </is>
      </c>
      <c r="E372" s="2" t="inlineStr">
        <is>
          <t>text</t>
        </is>
      </c>
      <c r="F372" s="2" t="inlineStr">
        <is>
          <t>22 % + par rapport à 1990</t>
        </is>
      </c>
      <c r="G372" s="2" t="inlineStr">
        <is>
          <t>A3</t>
        </is>
      </c>
      <c r="H372" s="2" t="n"/>
      <c r="I372" s="2" t="inlineStr">
        <is>
          <t>no</t>
        </is>
      </c>
      <c r="J372" s="2" t="inlineStr">
        <is>
          <t>no</t>
        </is>
      </c>
      <c r="K372" s="2" t="inlineStr">
        <is>
          <t>eurostat-chiffres-cles-2019-fr.pdf</t>
        </is>
      </c>
      <c r="L372" s="2" t="inlineStr">
        <is>
          <t>Environnement &gt; dans l’UE‑28 2,4 % du PIB</t>
        </is>
      </c>
      <c r="M372" s="2" t="inlineStr">
        <is>
          <t xml:space="preserve">2,7 BG, MT, PL
L’indicateur relatif aux émissions de gaz à effet de serre retrace l’évolution des émissions d’origine 
humaine pour le panier de gaz à effet de serre du protocole de Kyoto. L’UE s’est engagée à réduire la 
quantité de gaz à effet de </t>
        </is>
      </c>
    </row>
    <row r="373">
      <c r="A373" s="2" t="inlineStr">
        <is>
          <t>A3</t>
        </is>
      </c>
      <c r="B373" s="2" t="inlineStr">
        <is>
          <t>F5</t>
        </is>
      </c>
      <c r="C373" s="2" t="inlineStr">
        <is>
          <t>f5-q1</t>
        </is>
      </c>
      <c r="D373" s="2" t="inlineStr">
        <is>
          <t>Who prepared the compilation of the 1950 water-use estimates in USGS Circular 115?</t>
        </is>
      </c>
      <c r="E373" s="2" t="inlineStr">
        <is>
          <t>ocr</t>
        </is>
      </c>
      <c r="F373" s="2" t="inlineStr">
        <is>
          <t>MacKichan</t>
        </is>
      </c>
      <c r="G373" s="2" t="inlineStr">
        <is>
          <t>A3</t>
        </is>
      </c>
      <c r="H373" s="2" t="n">
        <v>1</v>
      </c>
      <c r="I373" s="2" t="inlineStr">
        <is>
          <t>yes</t>
        </is>
      </c>
      <c r="J373" s="2" t="inlineStr">
        <is>
          <t>yes</t>
        </is>
      </c>
      <c r="K373" s="2" t="inlineStr">
        <is>
          <t>usgs-circ115-scan.pdf</t>
        </is>
      </c>
      <c r="L373" s="2" t="inlineStr"/>
      <c r="M373" s="2" t="inlineStr">
        <is>
          <t>information available, the estimates in this report are, in general, rough approximations of the quantity of water used. The estimate for municipal use is probably the most accurrate and that for industrial surface water use the least accurate. It is</t>
        </is>
      </c>
    </row>
    <row r="374">
      <c r="A374" s="2" t="inlineStr">
        <is>
          <t>A3</t>
        </is>
      </c>
      <c r="B374" s="2" t="inlineStr">
        <is>
          <t>F5</t>
        </is>
      </c>
      <c r="C374" s="2" t="inlineStr">
        <is>
          <t>f5-q2</t>
        </is>
      </c>
      <c r="D374" s="2" t="inlineStr">
        <is>
          <t>According to Table 1 of USGS Circular 115, how much surface water did municipalities in Illinois use in 1950 (mgd)?</t>
        </is>
      </c>
      <c r="E374" s="2" t="inlineStr">
        <is>
          <t>ocr</t>
        </is>
      </c>
      <c r="F374" s="2" t="inlineStr">
        <is>
          <t>Illinois + 1,070</t>
        </is>
      </c>
      <c r="G374" s="2" t="inlineStr">
        <is>
          <t>A3</t>
        </is>
      </c>
      <c r="H374" s="2" t="n"/>
      <c r="I374" s="2" t="inlineStr">
        <is>
          <t>no</t>
        </is>
      </c>
      <c r="J374" s="2" t="inlineStr">
        <is>
          <t>no</t>
        </is>
      </c>
      <c r="K374" s="2" t="inlineStr">
        <is>
          <t>usgs-circ115-scan.pdf</t>
        </is>
      </c>
      <c r="L374" s="2" t="inlineStr"/>
      <c r="M374" s="2" t="inlineStr">
        <is>
          <t xml:space="preserve">4
during 1950 is given in table 1 and is shown graphically in figures 2 to 6. The estimates are for the five types of uses by States and by source of supply, ground water or surface water.
MUNICIPAL USE
Municipal water systems served 93.5 million </t>
        </is>
      </c>
    </row>
    <row r="375">
      <c r="A375" s="2" t="inlineStr">
        <is>
          <t>A3</t>
        </is>
      </c>
      <c r="B375" s="2" t="inlineStr">
        <is>
          <t>F5</t>
        </is>
      </c>
      <c r="C375" s="2" t="inlineStr">
        <is>
          <t>f5-q3</t>
        </is>
      </c>
      <c r="D375" s="2" t="inlineStr">
        <is>
          <t>According to Table 1 of USGS Circular 115, how much ground water did municipalities in Kansas use in 1950 (mgd)?</t>
        </is>
      </c>
      <c r="E375" s="2" t="inlineStr">
        <is>
          <t>ocr</t>
        </is>
      </c>
      <c r="F375" s="2" t="inlineStr">
        <is>
          <t>Kansas + 75</t>
        </is>
      </c>
      <c r="G375" s="2" t="inlineStr">
        <is>
          <t>A3</t>
        </is>
      </c>
      <c r="H375" s="2" t="n">
        <v>2</v>
      </c>
      <c r="I375" s="2" t="inlineStr">
        <is>
          <t>no</t>
        </is>
      </c>
      <c r="J375" s="2" t="inlineStr">
        <is>
          <t>yes</t>
        </is>
      </c>
      <c r="K375" s="2" t="inlineStr">
        <is>
          <t>usgs-circ115-scan.pdf</t>
        </is>
      </c>
      <c r="L375" s="2" t="inlineStr"/>
      <c r="M375" s="2" t="inlineStr">
        <is>
          <t xml:space="preserve">4
during 1950 is given in table 1 and is shown graphically in figures 2 to 6. The estimates are for the five types of uses by States and by source of supply, ground water or surface water.
MUNICIPAL USE
Municipal water systems served 93.5 million </t>
        </is>
      </c>
    </row>
    <row r="376">
      <c r="A376" s="2" t="inlineStr">
        <is>
          <t>A3</t>
        </is>
      </c>
      <c r="B376" s="2" t="inlineStr">
        <is>
          <t>F6</t>
        </is>
      </c>
      <c r="C376" s="2" t="inlineStr">
        <is>
          <t>f6-q1</t>
        </is>
      </c>
      <c r="D376" s="2" t="inlineStr">
        <is>
          <t>What is the word limit for section A3.2, on tackling potholes, in the DfT highways maintenance transparency report template?</t>
        </is>
      </c>
      <c r="E376" s="2" t="inlineStr">
        <is>
          <t>text</t>
        </is>
      </c>
      <c r="F376" s="2" t="inlineStr">
        <is>
          <t>tackle potholes + 250 words</t>
        </is>
      </c>
      <c r="G376" s="2" t="inlineStr">
        <is>
          <t>A3</t>
        </is>
      </c>
      <c r="H376" s="2" t="n"/>
      <c r="I376" s="2" t="inlineStr">
        <is>
          <t>no</t>
        </is>
      </c>
      <c r="J376" s="2" t="inlineStr">
        <is>
          <t>no</t>
        </is>
      </c>
      <c r="K376" s="2" t="inlineStr">
        <is>
          <t>dft-highways-maintenance-report-template.docx</t>
        </is>
      </c>
      <c r="L376" s="2" t="inlineStr">
        <is>
          <t>How we maintain local roads, pavements, and the wider highway network in [LHA name] &gt; A3 – What we are doing about potholes and other road defects</t>
        </is>
      </c>
      <c r="M376" s="2" t="inlineStr">
        <is>
          <t>ions which mean that not all defects can be resolved permanently the first time.
Word limit – 250 words
A3.3. How members of public can report potholes and other highway defects
Guidance - Please set out how the public can report potholes and othe</t>
        </is>
      </c>
    </row>
    <row r="377">
      <c r="A377" s="2" t="inlineStr">
        <is>
          <t>A3</t>
        </is>
      </c>
      <c r="B377" s="2" t="inlineStr">
        <is>
          <t>F6</t>
        </is>
      </c>
      <c r="C377" s="2" t="inlineStr">
        <is>
          <t>f6-q2</t>
        </is>
      </c>
      <c r="D377" s="2" t="inlineStr">
        <is>
          <t>Into which asset categories does table A4.1 of the DfT template break down spending on highways maintenance?</t>
        </is>
      </c>
      <c r="E377" s="2" t="inlineStr">
        <is>
          <t>table</t>
        </is>
      </c>
      <c r="F377" s="2" t="inlineStr">
        <is>
          <t>street lighting + drainage</t>
        </is>
      </c>
      <c r="G377" s="2" t="inlineStr">
        <is>
          <t>A3</t>
        </is>
      </c>
      <c r="H377" s="2" t="n">
        <v>1</v>
      </c>
      <c r="I377" s="2" t="inlineStr">
        <is>
          <t>yes</t>
        </is>
      </c>
      <c r="J377" s="2" t="inlineStr">
        <is>
          <t>yes</t>
        </is>
      </c>
      <c r="K377" s="2" t="inlineStr">
        <is>
          <t>dft-highways-maintenance-report-template.docx</t>
        </is>
      </c>
      <c r="L377" s="2" t="inlineStr">
        <is>
          <t>How we maintain local roads, pavements, and the wider highway network in [LHA name] &gt; A4 – What we spend to maintain the highway network and where the funding is coming from</t>
        </is>
      </c>
      <c r="M377" s="2" t="inlineStr">
        <is>
          <t xml:space="preserve">A4 – What we spend to maintain the highway network and where the funding is coming from
A4.1. – Spending on highways maintenance
|  | 2024-25 | 2025-26 | 2026-27 (projected) |
| --- | --- | --- | --- |
| Total spend on highways maintenance | £ | £ </t>
        </is>
      </c>
    </row>
    <row r="378">
      <c r="A378" s="2" t="inlineStr">
        <is>
          <t>A3</t>
        </is>
      </c>
      <c r="B378" s="2" t="inlineStr">
        <is>
          <t>F7</t>
        </is>
      </c>
      <c r="C378" s="2" t="inlineStr">
        <is>
          <t>f7-q1</t>
        </is>
      </c>
      <c r="D378" s="2" t="inlineStr">
        <is>
          <t>In the Prevent risk assessment example matrix, what score range counts as medium risk?</t>
        </is>
      </c>
      <c r="E378" s="2" t="inlineStr">
        <is>
          <t>table</t>
        </is>
      </c>
      <c r="F378" s="2" t="inlineStr">
        <is>
          <t>medium risk + 7 to 11</t>
        </is>
      </c>
      <c r="G378" s="2" t="inlineStr">
        <is>
          <t>A3</t>
        </is>
      </c>
      <c r="H378" s="2" t="n">
        <v>1</v>
      </c>
      <c r="I378" s="2" t="inlineStr">
        <is>
          <t>yes</t>
        </is>
      </c>
      <c r="J378" s="2" t="inlineStr">
        <is>
          <t>yes</t>
        </is>
      </c>
      <c r="K378" s="2" t="inlineStr">
        <is>
          <t>prevent-risk-assessment-slides.pptx</t>
        </is>
      </c>
      <c r="L378" s="2" t="inlineStr"/>
      <c r="M378" s="2" t="inlineStr">
        <is>
          <t>An example of a risk assessment matrix
| Low risk | 1 to 6 |
| --- | --- |
| Medium risk | 7 to 11 |
| High risk | 12 + |
| Probability | Rating | Severity of impact | Rating |
| --- | --- | --- | --- |
| Almost certain | 5 | Catastrophic | 5 |
| V</t>
        </is>
      </c>
    </row>
    <row r="379">
      <c r="A379" s="2" t="inlineStr">
        <is>
          <t>A3</t>
        </is>
      </c>
      <c r="B379" s="2" t="inlineStr">
        <is>
          <t>F7</t>
        </is>
      </c>
      <c r="C379" s="2" t="inlineStr">
        <is>
          <t>f7-q2</t>
        </is>
      </c>
      <c r="D379" s="2" t="inlineStr">
        <is>
          <t>In the Prevent risk assessment matrix, which severity of impact has the same rating as a 'Very likely' probability?</t>
        </is>
      </c>
      <c r="E379" s="2" t="inlineStr">
        <is>
          <t>table</t>
        </is>
      </c>
      <c r="F379" s="2" t="inlineStr">
        <is>
          <t>very likely + major</t>
        </is>
      </c>
      <c r="G379" s="2" t="inlineStr">
        <is>
          <t>A3</t>
        </is>
      </c>
      <c r="H379" s="2" t="n">
        <v>1</v>
      </c>
      <c r="I379" s="2" t="inlineStr">
        <is>
          <t>yes</t>
        </is>
      </c>
      <c r="J379" s="2" t="inlineStr">
        <is>
          <t>yes</t>
        </is>
      </c>
      <c r="K379" s="2" t="inlineStr">
        <is>
          <t>prevent-risk-assessment-slides.pptx</t>
        </is>
      </c>
      <c r="L379" s="2" t="inlineStr"/>
      <c r="M379" s="2" t="inlineStr">
        <is>
          <t>An example of a risk assessment matrix
| Low risk | 1 to 6 |
| --- | --- |
| Medium risk | 7 to 11 |
| High risk | 12 + |
| Probability | Rating | Severity of impact | Rating |
| --- | --- | --- | --- |
| Almost certain | 5 | Catastrophic | 5 |
| V</t>
        </is>
      </c>
    </row>
    <row r="380">
      <c r="A380" s="2" t="inlineStr">
        <is>
          <t>A3</t>
        </is>
      </c>
      <c r="B380" s="2" t="inlineStr">
        <is>
          <t>F7</t>
        </is>
      </c>
      <c r="C380" s="2" t="inlineStr">
        <is>
          <t>f7-q3</t>
        </is>
      </c>
      <c r="D380" s="2" t="inlineStr">
        <is>
          <t>According to the Prevent slides, on what scale are the severity and likelihood of risks usually ranked?</t>
        </is>
      </c>
      <c r="E380" s="2" t="inlineStr">
        <is>
          <t>table</t>
        </is>
      </c>
      <c r="F380" s="2" t="inlineStr">
        <is>
          <t>1-5 scale</t>
        </is>
      </c>
      <c r="G380" s="2" t="inlineStr">
        <is>
          <t>A3</t>
        </is>
      </c>
      <c r="H380" s="2" t="n">
        <v>3</v>
      </c>
      <c r="I380" s="2" t="inlineStr">
        <is>
          <t>no</t>
        </is>
      </c>
      <c r="J380" s="2" t="inlineStr">
        <is>
          <t>yes</t>
        </is>
      </c>
      <c r="K380" s="2" t="inlineStr">
        <is>
          <t>prevent-risk-assessment-slides.pptx</t>
        </is>
      </c>
      <c r="L380" s="2" t="inlineStr"/>
      <c r="M380" s="2" t="inlineStr">
        <is>
          <t>An example of a risk assessment matrix
| Low risk | 1 to 6 |
| --- | --- |
| Medium risk | 7 to 11 |
| High risk | 12 + |
| Probability | Rating | Severity of impact | Rating |
| --- | --- | --- | --- |
| Almost certain | 5 | Catastrophic | 5 |
| V</t>
        </is>
      </c>
    </row>
    <row r="381">
      <c r="A381" s="2" t="inlineStr">
        <is>
          <t>A3</t>
        </is>
      </c>
      <c r="B381" s="2" t="inlineStr">
        <is>
          <t>F7</t>
        </is>
      </c>
      <c r="C381" s="2" t="inlineStr">
        <is>
          <t>f7-q4</t>
        </is>
      </c>
      <c r="D381" s="2" t="inlineStr">
        <is>
          <t>What score marks a critical risk in the Prevent risk assessment matrix?</t>
        </is>
      </c>
      <c r="E381" s="2" t="inlineStr">
        <is>
          <t>unanswerable</t>
        </is>
      </c>
      <c r="F381" s="2" t="inlineStr">
        <is>
          <t>(not in source)</t>
        </is>
      </c>
      <c r="G381" s="2" t="inlineStr">
        <is>
          <t>A3</t>
        </is>
      </c>
      <c r="H381" s="2" t="n"/>
      <c r="I381" s="2" t="inlineStr">
        <is>
          <t>n/a</t>
        </is>
      </c>
      <c r="J381" s="2" t="inlineStr">
        <is>
          <t>n/a</t>
        </is>
      </c>
      <c r="K381" s="2" t="inlineStr">
        <is>
          <t>prevent-risk-assessment-slides.pptx</t>
        </is>
      </c>
      <c r="L381" s="2" t="inlineStr"/>
      <c r="M381" s="2" t="inlineStr">
        <is>
          <t>An example of a risk assessment matrix
| Low risk | 1 to 6 |
| --- | --- |
| Medium risk | 7 to 11 |
| High risk | 12 + |
| Probability | Rating | Severity of impact | Rating |
| --- | --- | --- | --- |
| Almost certain | 5 | Catastrophic | 5 |
| V</t>
        </is>
      </c>
    </row>
    <row r="382">
      <c r="A382" s="2" t="inlineStr">
        <is>
          <t>A3</t>
        </is>
      </c>
      <c r="B382" s="2" t="inlineStr">
        <is>
          <t>F5</t>
        </is>
      </c>
      <c r="C382" s="2" t="inlineStr">
        <is>
          <t>f5-q4</t>
        </is>
      </c>
      <c r="D382" s="2" t="inlineStr">
        <is>
          <t>How much water did Alaska withdraw for irrigation in 1950 according to USGS Circular 115?</t>
        </is>
      </c>
      <c r="E382" s="2" t="inlineStr">
        <is>
          <t>unanswerable</t>
        </is>
      </c>
      <c r="F382" s="2" t="inlineStr">
        <is>
          <t>(not in source)</t>
        </is>
      </c>
      <c r="G382" s="2" t="inlineStr">
        <is>
          <t>A3</t>
        </is>
      </c>
      <c r="H382" s="2" t="n"/>
      <c r="I382" s="2" t="inlineStr">
        <is>
          <t>n/a</t>
        </is>
      </c>
      <c r="J382" s="2" t="inlineStr">
        <is>
          <t>n/a</t>
        </is>
      </c>
      <c r="K382" s="2" t="inlineStr">
        <is>
          <t>usgs-circ115-scan.pdf</t>
        </is>
      </c>
      <c r="L382" s="2" t="inlineStr"/>
      <c r="M382" s="2" t="inlineStr">
        <is>
          <t>TABLE 1.--ESTIMATED WITHDRAWAL USE OF WATER IN THE UNITED STATES, 1950
Rural 1/ Municipal Industrial 2/ Irrigational For water-
State (1,000 acre-feet power (1,000 Ground water/Surface water}/Ground water|Surface water|Ground water|Surface water Gro</t>
        </is>
      </c>
    </row>
    <row r="383">
      <c r="A383" s="2" t="inlineStr">
        <is>
          <t>A3</t>
        </is>
      </c>
      <c r="B383" s="2" t="inlineStr">
        <is>
          <t>F4</t>
        </is>
      </c>
      <c r="C383" s="2" t="inlineStr">
        <is>
          <t>f4-q5</t>
        </is>
      </c>
      <c r="D383" s="2" t="inlineStr">
        <is>
          <t>Quel était le taux de chômage au Japon en 2018 selon ce rapport ?</t>
        </is>
      </c>
      <c r="E383" s="2" t="inlineStr">
        <is>
          <t>unanswerable</t>
        </is>
      </c>
      <c r="F383" s="2" t="inlineStr">
        <is>
          <t>(not in source)</t>
        </is>
      </c>
      <c r="G383" s="2" t="inlineStr">
        <is>
          <t>A3</t>
        </is>
      </c>
      <c r="H383" s="2" t="n"/>
      <c r="I383" s="2" t="inlineStr">
        <is>
          <t>n/a</t>
        </is>
      </c>
      <c r="J383" s="2" t="inlineStr">
        <is>
          <t>n/a</t>
        </is>
      </c>
      <c r="K383" s="2" t="inlineStr">
        <is>
          <t>eurostat-chiffres-cles-2019-fr.pdf</t>
        </is>
      </c>
      <c r="L383" s="2" t="inlineStr">
        <is>
          <t>Marché du travail &gt; Taux de chômage 
(part en pourcentage de la population active âgée de 15 à 74 ans, 2018)</t>
        </is>
      </c>
      <c r="M383" s="2" t="inlineStr">
        <is>
          <t>Taux de chômage 
(part en pourcentage de la population active âgée de 15 à 74 ans, 2018)</t>
        </is>
      </c>
    </row>
    <row r="384">
      <c r="A384" s="2" t="inlineStr">
        <is>
          <t>A3</t>
        </is>
      </c>
      <c r="B384" s="2" t="inlineStr">
        <is>
          <t>G1</t>
        </is>
      </c>
      <c r="C384" s="2" t="inlineStr">
        <is>
          <t>g1-q1</t>
        </is>
      </c>
      <c r="D384" s="2" t="inlineStr">
        <is>
          <t>On the 2026 Form W-4 Deductions Worksheet, what is the most qualified overtime compensation a filer can enter (not married filing jointly)?</t>
        </is>
      </c>
      <c r="E384" s="2" t="inlineStr">
        <is>
          <t>text</t>
        </is>
      </c>
      <c r="F384" s="2" t="inlineStr">
        <is>
          <t>overtime + 12,500</t>
        </is>
      </c>
      <c r="G384" s="2" t="inlineStr">
        <is>
          <t>A3</t>
        </is>
      </c>
      <c r="H384" s="2" t="n">
        <v>1</v>
      </c>
      <c r="I384" s="2" t="inlineStr">
        <is>
          <t>yes</t>
        </is>
      </c>
      <c r="J384" s="2" t="inlineStr">
        <is>
          <t>yes</t>
        </is>
      </c>
      <c r="K384" s="2" t="inlineStr">
        <is>
          <t>irs-form-w4-2026.pdf</t>
        </is>
      </c>
      <c r="L384" s="2" t="inlineStr">
        <is>
          <t>▲ ! CAUTION &gt; 4</t>
        </is>
      </c>
      <c r="M384" s="2" t="inlineStr">
        <is>
          <t>te of your qualified tips up to $25,000 . . . . . . . . . . . . . . . . . 1a $ b
Qualified overtime compensation. If your total income is less than $150,000 ($300,000 if married filing jointly), enter an estimate of your qualified overtime compensat</t>
        </is>
      </c>
    </row>
    <row r="385">
      <c r="A385" s="2" t="inlineStr">
        <is>
          <t>A3</t>
        </is>
      </c>
      <c r="B385" s="2" t="inlineStr">
        <is>
          <t>G1</t>
        </is>
      </c>
      <c r="C385" s="2" t="inlineStr">
        <is>
          <t>g1-q2</t>
        </is>
      </c>
      <c r="D385" s="2" t="inlineStr">
        <is>
          <t>What standard deduction amount does the 2026 Form W-4 Deductions Worksheet list for head of household?</t>
        </is>
      </c>
      <c r="E385" s="2" t="inlineStr">
        <is>
          <t>text</t>
        </is>
      </c>
      <c r="F385" s="2" t="inlineStr">
        <is>
          <t>head of household + 24,150</t>
        </is>
      </c>
      <c r="G385" s="2" t="inlineStr">
        <is>
          <t>A3</t>
        </is>
      </c>
      <c r="H385" s="2" t="n">
        <v>1</v>
      </c>
      <c r="I385" s="2" t="inlineStr">
        <is>
          <t>yes</t>
        </is>
      </c>
      <c r="J385" s="2" t="inlineStr">
        <is>
          <t>yes</t>
        </is>
      </c>
      <c r="K385" s="2" t="inlineStr">
        <is>
          <t>irs-form-w4-2026.pdf</t>
        </is>
      </c>
      <c r="L385" s="2" t="inlineStr">
        <is>
          <t>Enter: {</t>
        </is>
      </c>
      <c r="M385" s="2" t="inlineStr">
        <is>
          <t>Enter: {
• $32,200 if you’re married filing jointly or a qualifying surviving spouse
• $24,150 if you’re head of household
• $16,100 if you’re single or married filing separately
}
.
.
.
.
.
11 $
12 
Cash gifts to charities. If you take the standar</t>
        </is>
      </c>
    </row>
    <row r="386">
      <c r="A386" s="2" t="inlineStr">
        <is>
          <t>A3</t>
        </is>
      </c>
      <c r="B386" s="2" t="inlineStr">
        <is>
          <t>G2</t>
        </is>
      </c>
      <c r="C386" s="2" t="inlineStr">
        <is>
          <t>g2-q1</t>
        </is>
      </c>
      <c r="D386" s="2" t="inlineStr">
        <is>
          <t>What minimum length does NIST SP 800-63B set for memorized secrets chosen by the subscriber?</t>
        </is>
      </c>
      <c r="E386" s="2" t="inlineStr">
        <is>
          <t>text</t>
        </is>
      </c>
      <c r="F386" s="2" t="inlineStr">
        <is>
          <t>at least 8 characters</t>
        </is>
      </c>
      <c r="G386" s="2" t="inlineStr">
        <is>
          <t>A3</t>
        </is>
      </c>
      <c r="H386" s="2" t="n">
        <v>1</v>
      </c>
      <c r="I386" s="2" t="inlineStr">
        <is>
          <t>yes</t>
        </is>
      </c>
      <c r="J386" s="2" t="inlineStr">
        <is>
          <t>yes</t>
        </is>
      </c>
      <c r="K386" s="2" t="inlineStr">
        <is>
          <t>nist-sp-800-63b.pdf</t>
        </is>
      </c>
      <c r="L386" s="2" t="inlineStr">
        <is>
          <t>Digital Identity Guidelines &gt; Authentication and Lifecycle Management &gt; 5.1.1.1 Memorized Secret Authenticators</t>
        </is>
      </c>
      <c r="M386" s="2" t="inlineStr">
        <is>
          <t>5.1.1.1 Memorized Secret Authenticators
Memorized secrets SHALL be at least 8 characters in length if chosen by the subscriber. 
Memorized secrets chosen randomly by the CSP or verifier SHALL be at least 6 characters in 
length and MAY be entirely n</t>
        </is>
      </c>
    </row>
    <row r="387">
      <c r="A387" s="2" t="inlineStr">
        <is>
          <t>A3</t>
        </is>
      </c>
      <c r="B387" s="2" t="inlineStr">
        <is>
          <t>G2</t>
        </is>
      </c>
      <c r="C387" s="2" t="inlineStr">
        <is>
          <t>g2-q2</t>
        </is>
      </c>
      <c r="D387" s="2" t="inlineStr">
        <is>
          <t>Under NIST SP 800-63B, up to what length should verifiers permit subscriber-chosen memorized secrets?</t>
        </is>
      </c>
      <c r="E387" s="2" t="inlineStr">
        <is>
          <t>text</t>
        </is>
      </c>
      <c r="F387" s="2" t="inlineStr">
        <is>
          <t>64 characters</t>
        </is>
      </c>
      <c r="G387" s="2" t="inlineStr">
        <is>
          <t>A3</t>
        </is>
      </c>
      <c r="H387" s="2" t="n">
        <v>1</v>
      </c>
      <c r="I387" s="2" t="inlineStr">
        <is>
          <t>yes</t>
        </is>
      </c>
      <c r="J387" s="2" t="inlineStr">
        <is>
          <t>yes</t>
        </is>
      </c>
      <c r="K387" s="2" t="inlineStr">
        <is>
          <t>nist-sp-800-63b.pdf</t>
        </is>
      </c>
      <c r="L387" s="2" t="inlineStr">
        <is>
          <t>Digital Identity Guidelines &gt; Authentication and Lifecycle Management &gt; 5.1.1.2 Memorized Secret Verifiers</t>
        </is>
      </c>
      <c r="M387" s="2" t="inlineStr">
        <is>
          <t xml:space="preserve">5.1.1.2 Memorized Secret Verifiers
Verifiers SHALL require subscriber-chosen memorized secrets to be at least 8 characters in 
length. Verifiers SHOULD permit subscriber-chosen memorized secrets at least 64 characters in 
length. All printing ASCII </t>
        </is>
      </c>
    </row>
    <row r="388">
      <c r="A388" s="2" t="inlineStr">
        <is>
          <t>A3</t>
        </is>
      </c>
      <c r="B388" s="2" t="inlineStr">
        <is>
          <t>G3</t>
        </is>
      </c>
      <c r="C388" s="2" t="inlineStr">
        <is>
          <t>g3-q1</t>
        </is>
      </c>
      <c r="D388" s="2" t="inlineStr">
        <is>
          <t>According to GAO's fiscal year 2024 budget testimony, how much in financial benefits did GAO's work yield in fiscal year 2022?</t>
        </is>
      </c>
      <c r="E388" s="2" t="inlineStr">
        <is>
          <t>text</t>
        </is>
      </c>
      <c r="F388" s="2" t="inlineStr">
        <is>
          <t>55.6 billion</t>
        </is>
      </c>
      <c r="G388" s="2" t="inlineStr">
        <is>
          <t>A3</t>
        </is>
      </c>
      <c r="H388" s="2" t="n">
        <v>1</v>
      </c>
      <c r="I388" s="2" t="inlineStr">
        <is>
          <t>yes</t>
        </is>
      </c>
      <c r="J388" s="2" t="inlineStr">
        <is>
          <t>yes</t>
        </is>
      </c>
      <c r="K388" s="2" t="inlineStr">
        <is>
          <t>gao-23-900494.pdf</t>
        </is>
      </c>
      <c r="L388" s="2" t="inlineStr">
        <is>
          <t>U.S. Government Accountability Office &gt; Letter &gt; Fiscal Year 2024 Request &gt; Page 11 GAO-23-900494</t>
        </is>
      </c>
      <c r="M388" s="2" t="inlineStr">
        <is>
          <t>GAO continued to demonstrate its value in FY 2022. As shown in figure 6, 
GAO delivered $55.6 billion in financial benefits and over 1,260 in 
program and operational benefits in FY 2022. GAO issued 535 reports, 
over 450 legal decisions, and made 1,</t>
        </is>
      </c>
    </row>
    <row r="389">
      <c r="A389" s="2" t="inlineStr">
        <is>
          <t>A3</t>
        </is>
      </c>
      <c r="B389" s="2" t="inlineStr">
        <is>
          <t>G3</t>
        </is>
      </c>
      <c r="C389" s="2" t="inlineStr">
        <is>
          <t>g3-q2</t>
        </is>
      </c>
      <c r="D389" s="2" t="inlineStr">
        <is>
          <t>How many GAO mandates did the James M. Inhofe National Defense Authorization Act for Fiscal Year 2023 contain, according to GAO-23-900494?</t>
        </is>
      </c>
      <c r="E389" s="2" t="inlineStr">
        <is>
          <t>table</t>
        </is>
      </c>
      <c r="F389" s="2" t="inlineStr">
        <is>
          <t>Inhofe + 158</t>
        </is>
      </c>
      <c r="G389" s="2" t="inlineStr">
        <is>
          <t>A3</t>
        </is>
      </c>
      <c r="H389" s="2" t="n"/>
      <c r="I389" s="2" t="inlineStr">
        <is>
          <t>no</t>
        </is>
      </c>
      <c r="J389" s="2" t="inlineStr">
        <is>
          <t>no</t>
        </is>
      </c>
      <c r="K389" s="2" t="inlineStr">
        <is>
          <t>gao-23-900494.pdf</t>
        </is>
      </c>
      <c r="L389" s="2" t="inlineStr">
        <is>
          <t>U.S. Government Accountability Office &gt; U.S. Government Accountability Office &gt; Background</t>
        </is>
      </c>
      <c r="M389" s="2" t="inlineStr">
        <is>
          <t>on 
efforts, NASA’s moon landing plans, 
and the Biodefense National Strategy.
P.L 117-328 
Consolidated Appropriations Act, 2023 
97 
191
P.L. 117-103 
Consolidated Appropriations Act, 2022 
58 
114
P.L. 117-167 
CHIPS Act of 2022 
10 
20
This t</t>
        </is>
      </c>
    </row>
    <row r="390">
      <c r="A390" s="2" t="inlineStr">
        <is>
          <t>A3</t>
        </is>
      </c>
      <c r="B390" s="2" t="inlineStr">
        <is>
          <t>G4</t>
        </is>
      </c>
      <c r="C390" s="2" t="inlineStr">
        <is>
          <t>g4-q1</t>
        </is>
      </c>
      <c r="D390" s="2" t="inlineStr">
        <is>
          <t>Under Executive Order 9066, whom does the President authorize to prescribe military areas?</t>
        </is>
      </c>
      <c r="E390" s="2" t="inlineStr">
        <is>
          <t>ocr</t>
        </is>
      </c>
      <c r="F390" s="2" t="inlineStr">
        <is>
          <t>Secretary of War</t>
        </is>
      </c>
      <c r="G390" s="2" t="inlineStr">
        <is>
          <t>A3</t>
        </is>
      </c>
      <c r="H390" s="2" t="n">
        <v>3</v>
      </c>
      <c r="I390" s="2" t="inlineStr">
        <is>
          <t>no</t>
        </is>
      </c>
      <c r="J390" s="2" t="inlineStr">
        <is>
          <t>yes</t>
        </is>
      </c>
      <c r="K390" s="2" t="inlineStr">
        <is>
          <t>eo9066-scan.pdf</t>
        </is>
      </c>
      <c r="L390" s="2" t="inlineStr"/>
      <c r="M390" s="2" t="inlineStr">
        <is>
          <t xml:space="preserve">t. 655 (U. S. Ce, Titde 50, Sec. 104):
NOW, THEREPORe, by virtue of the authority
vested in me as President of the United Stet. Commander in Chief of the Army and Novy, I hereby authorize end direct the Secretary of Wer, end the Military Comendors </t>
        </is>
      </c>
    </row>
    <row r="391">
      <c r="A391" s="2" t="inlineStr">
        <is>
          <t>A3</t>
        </is>
      </c>
      <c r="B391" s="2" t="inlineStr">
        <is>
          <t>G4</t>
        </is>
      </c>
      <c r="C391" s="2" t="inlineStr">
        <is>
          <t>g4-q2</t>
        </is>
      </c>
      <c r="D391" s="2" t="inlineStr">
        <is>
          <t>Which earlier act, by date, does Executive Order 9066 cite first as defining national-defense material, premises and utilities?</t>
        </is>
      </c>
      <c r="E391" s="2" t="inlineStr">
        <is>
          <t>ocr</t>
        </is>
      </c>
      <c r="F391" s="2" t="inlineStr">
        <is>
          <t>April 20, 1918</t>
        </is>
      </c>
      <c r="G391" s="2" t="inlineStr">
        <is>
          <t>A3</t>
        </is>
      </c>
      <c r="H391" s="2" t="n">
        <v>1</v>
      </c>
      <c r="I391" s="2" t="inlineStr">
        <is>
          <t>yes</t>
        </is>
      </c>
      <c r="J391" s="2" t="inlineStr">
        <is>
          <t>yes</t>
        </is>
      </c>
      <c r="K391" s="2" t="inlineStr">
        <is>
          <t>eo9066-scan.pdf</t>
        </is>
      </c>
      <c r="L391" s="2" t="inlineStr"/>
      <c r="M391" s="2" t="inlineStr">
        <is>
          <t>SXSCUTIVE ORDER
AUTHORIZING THE SECKSTARY OF WAR TO PRESCRIBE MILITARY AREAS
WEEREAS the successful prosecution of the war Tequires every possitle protection sgainst espionage end against ssbotege to nationsl-defense materiel, national-defense pren</t>
        </is>
      </c>
    </row>
    <row r="392">
      <c r="A392" s="2" t="inlineStr">
        <is>
          <t>A3</t>
        </is>
      </c>
      <c r="B392" s="2" t="inlineStr">
        <is>
          <t>G5</t>
        </is>
      </c>
      <c r="C392" s="2" t="inlineStr">
        <is>
          <t>g5-q1</t>
        </is>
      </c>
      <c r="D392" s="2" t="inlineStr">
        <is>
          <t>According to the NISRA Labour Force Survey tables for October to December 2023, what percentage of females working part time did not want a full-time job?</t>
        </is>
      </c>
      <c r="E392" s="2" t="inlineStr">
        <is>
          <t>table</t>
        </is>
      </c>
      <c r="F392" s="2" t="inlineStr">
        <is>
          <t>did not want full time job + 73.3</t>
        </is>
      </c>
      <c r="G392" s="2" t="inlineStr">
        <is>
          <t>A3</t>
        </is>
      </c>
      <c r="H392" s="2" t="n">
        <v>1</v>
      </c>
      <c r="I392" s="2" t="inlineStr">
        <is>
          <t>yes</t>
        </is>
      </c>
      <c r="J392" s="2" t="inlineStr">
        <is>
          <t>yes</t>
        </is>
      </c>
      <c r="K392" s="2" t="inlineStr">
        <is>
          <t>nisra-lfs-quarterly-od2023.xlsx</t>
        </is>
      </c>
      <c r="L392" s="2" t="inlineStr"/>
      <c r="M392" s="2" t="inlineStr">
        <is>
          <t>| Percentage of Females Working Part Time by Reason, Age 16 and over, October to December 2023 [Notes 6, 10] |  |  |
| --- | --- | --- |
| This worksheet consists of one table. |  |  |
| Full explanation of notes, rounding, shading and disclosive dat</t>
        </is>
      </c>
    </row>
    <row r="393">
      <c r="A393" s="2" t="inlineStr">
        <is>
          <t>A3</t>
        </is>
      </c>
      <c r="B393" s="2" t="inlineStr">
        <is>
          <t>G5</t>
        </is>
      </c>
      <c r="C393" s="2" t="inlineStr">
        <is>
          <t>g5-q2</t>
        </is>
      </c>
      <c r="D393" s="2" t="inlineStr">
        <is>
          <t>What was the economic inactivity rate for all persons aged 16 to 64 in October to December 2023 in the NISRA Labour Force Survey tables?</t>
        </is>
      </c>
      <c r="E393" s="2" t="inlineStr">
        <is>
          <t>table</t>
        </is>
      </c>
      <c r="F393" s="2" t="inlineStr">
        <is>
          <t>Oct to Dec 2023 + 26.9</t>
        </is>
      </c>
      <c r="G393" s="2" t="inlineStr">
        <is>
          <t>A3</t>
        </is>
      </c>
      <c r="H393" s="2" t="n">
        <v>3</v>
      </c>
      <c r="I393" s="2" t="inlineStr">
        <is>
          <t>no</t>
        </is>
      </c>
      <c r="J393" s="2" t="inlineStr">
        <is>
          <t>yes</t>
        </is>
      </c>
      <c r="K393" s="2" t="inlineStr">
        <is>
          <t>nisra-lfs-quarterly-od2023.xlsx</t>
        </is>
      </c>
      <c r="L393" s="2" t="inlineStr"/>
      <c r="M393" s="2" t="inlineStr">
        <is>
          <t>| Economically Inactive by Age Band and Sex, Northern Ireland and United Kingdom, October to December 2023 [Note 18] |  |  |  |  |  |
| --- | --- | --- | --- | --- | --- |
| This worksheet consists of four tables in two rows, each separated by a blan</t>
        </is>
      </c>
    </row>
    <row r="394">
      <c r="A394" s="2" t="inlineStr">
        <is>
          <t>A3</t>
        </is>
      </c>
      <c r="B394" s="2" t="inlineStr">
        <is>
          <t>G6</t>
        </is>
      </c>
      <c r="C394" s="2" t="inlineStr">
        <is>
          <t>g6-q1</t>
        </is>
      </c>
      <c r="D394" s="2" t="inlineStr">
        <is>
          <t>Who was the Chief Executive of ECGD in its September 2012 organisation chart?</t>
        </is>
      </c>
      <c r="E394" s="2" t="inlineStr">
        <is>
          <t>text</t>
        </is>
      </c>
      <c r="F394" s="2" t="inlineStr">
        <is>
          <t>Patrick Crawford</t>
        </is>
      </c>
      <c r="G394" s="2" t="inlineStr">
        <is>
          <t>A3</t>
        </is>
      </c>
      <c r="H394" s="2" t="n">
        <v>4</v>
      </c>
      <c r="I394" s="2" t="inlineStr">
        <is>
          <t>no</t>
        </is>
      </c>
      <c r="J394" s="2" t="inlineStr">
        <is>
          <t>yes</t>
        </is>
      </c>
      <c r="K394" s="2" t="inlineStr">
        <is>
          <t>ecgd-structure-chart-2012.pptx</t>
        </is>
      </c>
      <c r="L394" s="2" t="inlineStr"/>
      <c r="M394" s="2" t="inlineStr">
        <is>
          <t>rector)
£105,000 - £110, 000
ECGD Organisation Chart
Business Group
Finance Group
Credit Risk Group
This structure represents the organisation as at 30 September 2012
Posts shown in green boxes above are within the Senior Civil Service
Paul Cr</t>
        </is>
      </c>
    </row>
    <row r="395">
      <c r="A395" s="2" t="inlineStr">
        <is>
          <t>A3</t>
        </is>
      </c>
      <c r="B395" s="2" t="inlineStr">
        <is>
          <t>G6</t>
        </is>
      </c>
      <c r="C395" s="2" t="inlineStr">
        <is>
          <t>g6-q2</t>
        </is>
      </c>
      <c r="D395" s="2" t="inlineStr">
        <is>
          <t>What was the pay range for ECGD Pay Band 07 (SEO) in September 2012?</t>
        </is>
      </c>
      <c r="E395" s="2" t="inlineStr">
        <is>
          <t>table</t>
        </is>
      </c>
      <c r="F395" s="2" t="inlineStr">
        <is>
          <t>36,300 + 43,690</t>
        </is>
      </c>
      <c r="G395" s="2" t="inlineStr">
        <is>
          <t>A3</t>
        </is>
      </c>
      <c r="H395" s="2" t="n">
        <v>1</v>
      </c>
      <c r="I395" s="2" t="inlineStr">
        <is>
          <t>yes</t>
        </is>
      </c>
      <c r="J395" s="2" t="inlineStr">
        <is>
          <t>yes</t>
        </is>
      </c>
      <c r="K395" s="2" t="inlineStr">
        <is>
          <t>ecgd-structure-chart-2012.pptx</t>
        </is>
      </c>
      <c r="L395" s="2" t="inlineStr"/>
      <c r="M395" s="2" t="inlineStr">
        <is>
          <t>ECGD Pay Scales
This  represents the organisation as at  30 September 2012
| Pay Band | Minimum | Maximum |
| --- | --- | --- |
| Pay Band 01 (AA) | £19,230 |  |
| Pay Band 02 (AO) | £20,970 | £22,950 |
| Pay Band 03 (EO) | £25,250 | £28,050 |
| Pa</t>
        </is>
      </c>
    </row>
    <row r="396">
      <c r="A396" s="2" t="inlineStr">
        <is>
          <t>A3</t>
        </is>
      </c>
      <c r="B396" s="2" t="inlineStr">
        <is>
          <t>G7</t>
        </is>
      </c>
      <c r="C396" s="2" t="inlineStr">
        <is>
          <t>g7-q1</t>
        </is>
      </c>
      <c r="D396" s="2" t="inlineStr">
        <is>
          <t>In the DfE information sharing agreement template, covering how many years before the application must childminder agencies check where a provider has lived?</t>
        </is>
      </c>
      <c r="E396" s="2" t="inlineStr">
        <is>
          <t>text</t>
        </is>
      </c>
      <c r="F396" s="2" t="inlineStr">
        <is>
          <t>5 years</t>
        </is>
      </c>
      <c r="G396" s="2" t="inlineStr">
        <is>
          <t>A3</t>
        </is>
      </c>
      <c r="H396" s="2" t="n">
        <v>1</v>
      </c>
      <c r="I396" s="2" t="inlineStr">
        <is>
          <t>yes</t>
        </is>
      </c>
      <c r="J396" s="2" t="inlineStr">
        <is>
          <t>yes</t>
        </is>
      </c>
      <c r="K396" s="2" t="inlineStr">
        <is>
          <t>dfe-information-sharing-agreement-template.docx</t>
        </is>
      </c>
      <c r="L396" s="2" t="inlineStr">
        <is>
          <t>Agreement template &gt; Registration, suspensions, cancellations, entitlements and funding</t>
        </is>
      </c>
      <c r="M396" s="2" t="inlineStr">
        <is>
          <t>the 5 years prior to making their application for registration, and with Ofsted.
[Local authority’s name] will endeavour to carry out background checks on prospective providers within [XX days or XX weeks – delete as appropriate] and to keep [childm</t>
        </is>
      </c>
    </row>
    <row r="397">
      <c r="A397" s="2" t="inlineStr">
        <is>
          <t>A3</t>
        </is>
      </c>
      <c r="B397" s="2" t="inlineStr">
        <is>
          <t>G7</t>
        </is>
      </c>
      <c r="C397" s="2" t="inlineStr">
        <is>
          <t>g7-q2</t>
        </is>
      </c>
      <c r="D397" s="2" t="inlineStr">
        <is>
          <t>Which data protection laws does the childminder information sharing agreement template say agencies and local authorities must understand?</t>
        </is>
      </c>
      <c r="E397" s="2" t="inlineStr">
        <is>
          <t>text</t>
        </is>
      </c>
      <c r="F397" s="2" t="inlineStr">
        <is>
          <t>Data Protection Act 2018</t>
        </is>
      </c>
      <c r="G397" s="2" t="inlineStr">
        <is>
          <t>A3</t>
        </is>
      </c>
      <c r="H397" s="2" t="n">
        <v>1</v>
      </c>
      <c r="I397" s="2" t="inlineStr">
        <is>
          <t>yes</t>
        </is>
      </c>
      <c r="J397" s="2" t="inlineStr">
        <is>
          <t>yes</t>
        </is>
      </c>
      <c r="K397" s="2" t="inlineStr">
        <is>
          <t>dfe-information-sharing-agreement-template.docx</t>
        </is>
      </c>
      <c r="L397" s="2" t="inlineStr">
        <is>
          <t>Agreement template &gt; Data Protection</t>
        </is>
      </c>
      <c r="M397" s="2" t="inlineStr">
        <is>
          <t xml:space="preserve">Data Protection
Childminder agencies and local authorities need to understand their responsibilities under UK data protection laws, including the UK General Data Protection Regulations (UK GDPR), the Data Protection Act 2018, and, where applicable, </t>
        </is>
      </c>
    </row>
    <row r="398">
      <c r="A398" s="2" t="inlineStr">
        <is>
          <t>A3</t>
        </is>
      </c>
      <c r="B398" s="2" t="inlineStr">
        <is>
          <t>G8</t>
        </is>
      </c>
      <c r="C398" s="2" t="inlineStr">
        <is>
          <t>g8-q1</t>
        </is>
      </c>
      <c r="D398" s="2" t="inlineStr">
        <is>
          <t>How many participants took part in the driving simulator study (study 1) of the PLOS ONE paper on sex differences in driving speed?</t>
        </is>
      </c>
      <c r="E398" s="2" t="inlineStr">
        <is>
          <t>text</t>
        </is>
      </c>
      <c r="F398" s="2" t="inlineStr">
        <is>
          <t>N = 41</t>
        </is>
      </c>
      <c r="G398" s="2" t="inlineStr">
        <is>
          <t>A3</t>
        </is>
      </c>
      <c r="H398" s="2" t="n"/>
      <c r="I398" s="2" t="inlineStr">
        <is>
          <t>no</t>
        </is>
      </c>
      <c r="J398" s="2" t="inlineStr">
        <is>
          <t>no</t>
        </is>
      </c>
      <c r="K398" s="2" t="inlineStr">
        <is>
          <t>plos-one-0288653.pdf</t>
        </is>
      </c>
      <c r="L398" s="2" t="inlineStr">
        <is>
          <t>RESEARCH ARTICLE Sex difference in driving speed management: The mediation effect of impulse control &gt; Abstract &gt; 2. Study 1 sex difference in driving speed: A simualtor study 2.1 Methods</t>
        </is>
      </c>
      <c r="M398" s="2" t="inlineStr">
        <is>
          <t>2.1.1 Participants. Forty-one participants were recruited from Liaoning Normal University, including 17 males (accounting for 41.46%, average age = 24.41±3.79 years) and 24 females (58.54%, average age = 22±2.39 years). Each participant obtained a va</t>
        </is>
      </c>
    </row>
    <row r="399">
      <c r="A399" s="2" t="inlineStr">
        <is>
          <t>A3</t>
        </is>
      </c>
      <c r="B399" s="2" t="inlineStr">
        <is>
          <t>G8</t>
        </is>
      </c>
      <c r="C399" s="2" t="inlineStr">
        <is>
          <t>g8-q2</t>
        </is>
      </c>
      <c r="D399" s="2" t="inlineStr">
        <is>
          <t>In the PLOS ONE driving-speed paper, what partly mediates the relationship between sex and driving speed?</t>
        </is>
      </c>
      <c r="E399" s="2" t="inlineStr">
        <is>
          <t>text</t>
        </is>
      </c>
      <c r="F399" s="2" t="inlineStr">
        <is>
          <t>partial mediating role</t>
        </is>
      </c>
      <c r="G399" s="2" t="inlineStr">
        <is>
          <t>A3</t>
        </is>
      </c>
      <c r="H399" s="2" t="n"/>
      <c r="I399" s="2" t="inlineStr">
        <is>
          <t>no</t>
        </is>
      </c>
      <c r="J399" s="2" t="inlineStr">
        <is>
          <t>no</t>
        </is>
      </c>
      <c r="K399" s="2" t="inlineStr">
        <is>
          <t>plos-one-0288653.pdf</t>
        </is>
      </c>
      <c r="L399" s="2" t="inlineStr">
        <is>
          <t>RESEARCH ARTICLE Sex difference in driving speed management: The mediation effect of impulse control &gt; Abstract &gt; 1.2 The interaction between sex and road scenarios on driving speed</t>
        </is>
      </c>
      <c r="M399" s="2" t="inlineStr">
        <is>
          <t>1.2 The interaction between sex and road scenarios on driving speed
In past studies, researchers have suggested that sex is a predictor of risky driving behavior. After adjusting the mileage differences, the researcher found that the accident rate a</t>
        </is>
      </c>
    </row>
    <row r="400">
      <c r="A400" s="2" t="inlineStr">
        <is>
          <t>A3</t>
        </is>
      </c>
      <c r="B400" s="2" t="inlineStr">
        <is>
          <t>G6</t>
        </is>
      </c>
      <c r="C400" s="2" t="inlineStr">
        <is>
          <t>g6-q3</t>
        </is>
      </c>
      <c r="D400" s="2" t="inlineStr">
        <is>
          <t>What was the ECGD Chief Executive's salary in 2015?</t>
        </is>
      </c>
      <c r="E400" s="2" t="inlineStr">
        <is>
          <t>unanswerable</t>
        </is>
      </c>
      <c r="F400" s="2" t="inlineStr">
        <is>
          <t>(not in source)</t>
        </is>
      </c>
      <c r="G400" s="2" t="inlineStr">
        <is>
          <t>A3</t>
        </is>
      </c>
      <c r="H400" s="2" t="n"/>
      <c r="I400" s="2" t="inlineStr">
        <is>
          <t>n/a</t>
        </is>
      </c>
      <c r="J400" s="2" t="inlineStr">
        <is>
          <t>n/a</t>
        </is>
      </c>
      <c r="K400" s="2" t="inlineStr">
        <is>
          <t>ecgd-structure-chart-2012.pptx</t>
        </is>
      </c>
      <c r="L400" s="2" t="inlineStr"/>
      <c r="M400" s="2" t="inlineStr">
        <is>
          <t>ECGD Pay Scales
This  represents the organisation as at  30 September 2012
| Pay Band | Minimum | Maximum |
| --- | --- | --- |
| Pay Band 01 (AA) | £19,230 |  |
| Pay Band 02 (AO) | £20,970 | £22,950 |
| Pay Band 03 (EO) | £25,250 | £28,050 |
| Pa</t>
        </is>
      </c>
    </row>
    <row r="401">
      <c r="A401" s="2" t="inlineStr">
        <is>
          <t>A3</t>
        </is>
      </c>
      <c r="B401" s="2" t="inlineStr">
        <is>
          <t>G8</t>
        </is>
      </c>
      <c r="C401" s="2" t="inlineStr">
        <is>
          <t>g8-q3</t>
        </is>
      </c>
      <c r="D401" s="2" t="inlineStr">
        <is>
          <t>How many participants in the PLOS ONE driving-speed study lived in Beijing?</t>
        </is>
      </c>
      <c r="E401" s="2" t="inlineStr">
        <is>
          <t>unanswerable</t>
        </is>
      </c>
      <c r="F401" s="2" t="inlineStr">
        <is>
          <t>(not in source)</t>
        </is>
      </c>
      <c r="G401" s="2" t="inlineStr">
        <is>
          <t>A3</t>
        </is>
      </c>
      <c r="H401" s="2" t="n"/>
      <c r="I401" s="2" t="inlineStr">
        <is>
          <t>n/a</t>
        </is>
      </c>
      <c r="J401" s="2" t="inlineStr">
        <is>
          <t>n/a</t>
        </is>
      </c>
      <c r="K401" s="2" t="inlineStr">
        <is>
          <t>plos-one-0288653.pdf</t>
        </is>
      </c>
      <c r="L401" s="2" t="inlineStr">
        <is>
          <t>RESEARCH ARTICLE Sex difference in driving speed management: The mediation effect of impulse control &gt; Abstract &gt; 2. Study 1 sex difference in driving speed: A simualtor study 2.1 Methods</t>
        </is>
      </c>
      <c r="M401" s="2" t="inlineStr">
        <is>
          <t>2.1.1 Participants. Forty-one participants were recruited from Liaoning Normal University, including 17 males (accounting for 41.46%, average age = 24.41±3.79 years) and 24 females (58.54%, average age = 22±2.39 years). Each participant obtained a va</t>
        </is>
      </c>
    </row>
    <row r="402">
      <c r="A402" s="2" t="inlineStr">
        <is>
          <t>A3</t>
        </is>
      </c>
      <c r="B402" s="2" t="inlineStr">
        <is>
          <t>G2</t>
        </is>
      </c>
      <c r="C402" s="2" t="inlineStr">
        <is>
          <t>g2-q3</t>
        </is>
      </c>
      <c r="D402" s="2" t="inlineStr">
        <is>
          <t>What does NIST SP 800-63B require for retina scanners at AAL3 in hospitals?</t>
        </is>
      </c>
      <c r="E402" s="2" t="inlineStr">
        <is>
          <t>unanswerable</t>
        </is>
      </c>
      <c r="F402" s="2" t="inlineStr">
        <is>
          <t>(not in source)</t>
        </is>
      </c>
      <c r="G402" s="2" t="inlineStr">
        <is>
          <t>A3</t>
        </is>
      </c>
      <c r="H402" s="2" t="n"/>
      <c r="I402" s="2" t="inlineStr">
        <is>
          <t>n/a</t>
        </is>
      </c>
      <c r="J402" s="2" t="inlineStr">
        <is>
          <t>n/a</t>
        </is>
      </c>
      <c r="K402" s="2" t="inlineStr">
        <is>
          <t>nist-sp-800-63b.pdf</t>
        </is>
      </c>
      <c r="L402" s="2" t="inlineStr">
        <is>
          <t>Digital Identity Guidelines &gt; Authentication and Lifecycle Management &gt; 4.3.2 Authenticator and Verifier Requirements</t>
        </is>
      </c>
      <c r="M402" s="2" t="inlineStr">
        <is>
          <t>When a biometric factor is used in authentication at AAL3, the verifier SHALL make a 
determination that the biometric sensor and subsequent processing meet the performance 
requirements stated in Section 5.2.3.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8" customWidth="1" min="3" max="3"/>
    <col width="40" customWidth="1" min="4" max="4"/>
    <col width="30" customWidth="1" min="5" max="5"/>
    <col width="50" customWidth="1" min="6" max="6"/>
    <col width="13" customWidth="1" min="7" max="7"/>
    <col width="40" customWidth="1" min="8" max="8"/>
    <col width="10" customWidth="1" min="9" max="9"/>
    <col width="36" customWidth="1" min="10" max="10"/>
    <col width="9" customWidth="1" min="11" max="11"/>
  </cols>
  <sheetData>
    <row r="1">
      <c r="A1" s="4" t="inlineStr">
        <is>
          <t>Round</t>
        </is>
      </c>
      <c r="B1" s="4" t="inlineStr">
        <is>
          <t>Index used</t>
        </is>
      </c>
      <c r="C1" s="4" t="inlineStr">
        <is>
          <t>Question ID</t>
        </is>
      </c>
      <c r="D1" s="4" t="inlineStr">
        <is>
          <t>Question</t>
        </is>
      </c>
      <c r="E1" s="4" t="inlineStr">
        <is>
          <t>Reference answer</t>
        </is>
      </c>
      <c r="F1" s="4" t="inlineStr">
        <is>
          <t>Model answer</t>
        </is>
      </c>
      <c r="G1" s="4" t="inlineStr">
        <is>
          <t>Label (blind)</t>
        </is>
      </c>
      <c r="H1" s="4" t="inlineStr">
        <is>
          <t>Reason</t>
        </is>
      </c>
      <c r="I1" s="4" t="inlineStr">
        <is>
          <t>Supported by cited evidence</t>
        </is>
      </c>
      <c r="J1" s="4" t="inlineStr">
        <is>
          <t>Supported reason</t>
        </is>
      </c>
      <c r="K1" s="4" t="inlineStr">
        <is>
          <t>Cost (USD)</t>
        </is>
      </c>
    </row>
    <row r="2">
      <c r="A2" s="2" t="inlineStr">
        <is>
          <t>R1</t>
        </is>
      </c>
      <c r="B2" s="2" t="inlineStr">
        <is>
          <t>R1</t>
        </is>
      </c>
      <c r="C2" s="2" t="inlineStr">
        <is>
          <t>w1-q1</t>
        </is>
      </c>
      <c r="D2" s="2" t="inlineStr">
        <is>
          <t>Which class does the Python tutorial recommend for implementing a queue?</t>
        </is>
      </c>
      <c r="E2" s="2" t="inlineStr">
        <is>
          <t>collections.deque</t>
        </is>
      </c>
      <c r="F2" s="2" t="inlineStr">
        <is>
          <t>The Python tutorial recommends using `collections.deque` for implementing a queue because it is designed for fast appends and pops from both ends [S2, S1].</t>
        </is>
      </c>
      <c r="G2" s="2" t="inlineStr">
        <is>
          <t>correct</t>
        </is>
      </c>
      <c r="H2" s="2" t="inlineStr">
        <is>
          <t>Names collections.deque.</t>
        </is>
      </c>
      <c r="I2" s="2" t="inlineStr">
        <is>
          <t>yes</t>
        </is>
      </c>
      <c r="J2" s="2" t="inlineStr">
        <is>
          <t>A cited chunk contains the expected phrase.</t>
        </is>
      </c>
      <c r="K2" s="2" t="n">
        <v>0.0005419</v>
      </c>
    </row>
    <row r="3">
      <c r="A3" s="2" t="inlineStr">
        <is>
          <t>R1</t>
        </is>
      </c>
      <c r="B3" s="2" t="inlineStr">
        <is>
          <t>R1</t>
        </is>
      </c>
      <c r="C3" s="2" t="inlineStr">
        <is>
          <t>w1-q3</t>
        </is>
      </c>
      <c r="D3" s="2" t="inlineStr">
        <is>
          <t>What command does the tutorial use to create a virtual environment called tutorial-env?</t>
        </is>
      </c>
      <c r="E3" s="2" t="inlineStr">
        <is>
          <t>python -m venv tutorial-env</t>
        </is>
      </c>
      <c r="F3" s="2" t="inlineStr">
        <is>
          <t>The tutorial uses the command `python -m venv tutorial-env` to create a virtual environment named tutorial-env [S1].</t>
        </is>
      </c>
      <c r="G3" s="2" t="inlineStr">
        <is>
          <t>correct</t>
        </is>
      </c>
      <c r="H3" s="2" t="inlineStr">
        <is>
          <t>Gives python -m venv tutorial-env.</t>
        </is>
      </c>
      <c r="I3" s="2" t="inlineStr">
        <is>
          <t>yes</t>
        </is>
      </c>
      <c r="J3" s="2" t="inlineStr">
        <is>
          <t>A cited chunk contains the expected phrase.</t>
        </is>
      </c>
      <c r="K3" s="2" t="n">
        <v>0.0005854</v>
      </c>
    </row>
    <row r="4">
      <c r="A4" s="2" t="inlineStr">
        <is>
          <t>R1</t>
        </is>
      </c>
      <c r="B4" s="2" t="inlineStr">
        <is>
          <t>R1</t>
        </is>
      </c>
      <c r="C4" s="2" t="inlineStr">
        <is>
          <t>w1-q8</t>
        </is>
      </c>
      <c r="D4" s="2" t="inlineStr">
        <is>
          <t>On what date will Python 4.0 be released according to the tutorial?</t>
        </is>
      </c>
      <c r="E4" s="2" t="inlineStr">
        <is>
          <t>Not stated in the source.</t>
        </is>
      </c>
      <c r="F4" s="2" t="inlineStr">
        <is>
          <t>INSUFFICIENT_EVIDENCE. The provided text does not specify a release date for Python 4.0. In fact, according to Guido van Rossum, Python 4.0 will probably never exist [S3].</t>
        </is>
      </c>
      <c r="G4" s="2" t="inlineStr">
        <is>
          <t>correct-abstain</t>
        </is>
      </c>
      <c r="H4" s="2" t="inlineStr">
        <is>
          <t>Declines; adds a cited aside that does not invent a date.</t>
        </is>
      </c>
      <c r="I4" s="2" t="inlineStr">
        <is>
          <t>n/a</t>
        </is>
      </c>
      <c r="J4" s="2" t="inlineStr">
        <is>
          <t>No answer to support.</t>
        </is>
      </c>
      <c r="K4" s="2" t="n">
        <v>0.0006461</v>
      </c>
    </row>
    <row r="5">
      <c r="A5" s="2" t="inlineStr">
        <is>
          <t>R1</t>
        </is>
      </c>
      <c r="B5" s="2" t="inlineStr">
        <is>
          <t>R1</t>
        </is>
      </c>
      <c r="C5" s="2" t="inlineStr">
        <is>
          <t>w2-q1</t>
        </is>
      </c>
      <c r="D5" s="2" t="inlineStr">
        <is>
          <t>What is the elevation of Mount Everest in metres?</t>
        </is>
      </c>
      <c r="E5" s="2" t="inlineStr">
        <is>
          <t>8,848.86 m (29,031.7 ft)</t>
        </is>
      </c>
      <c r="F5" s="2" t="inlineStr">
        <is>
          <t>The elevation of Mount Everest is 8,848.86 meters (29,031.7 ft) [S4]. This new official height was jointly announced by China and Nepal on December 8, 2020 [S2].</t>
        </is>
      </c>
      <c r="G5" s="2" t="inlineStr">
        <is>
          <t>correct</t>
        </is>
      </c>
      <c r="H5" s="2" t="inlineStr">
        <is>
          <t>States 8,848.86 m.</t>
        </is>
      </c>
      <c r="I5" s="2" t="inlineStr">
        <is>
          <t>yes</t>
        </is>
      </c>
      <c r="J5" s="2" t="inlineStr">
        <is>
          <t>A cited chunk contains the expected phrase.</t>
        </is>
      </c>
      <c r="K5" s="2" t="n">
        <v>0.0007964</v>
      </c>
    </row>
    <row r="6">
      <c r="A6" s="2" t="inlineStr">
        <is>
          <t>R1</t>
        </is>
      </c>
      <c r="B6" s="2" t="inlineStr">
        <is>
          <t>R1</t>
        </is>
      </c>
      <c r="C6" s="2" t="inlineStr">
        <is>
          <t>w2-q3</t>
        </is>
      </c>
      <c r="D6" s="2" t="inlineStr">
        <is>
          <t>What is the average discharge of the Amazon River?</t>
        </is>
      </c>
      <c r="E6" s="2" t="inlineStr">
        <is>
          <t>About 215,000 to 230,000 cubic meters per second.</t>
        </is>
      </c>
      <c r="F6" s="2" t="inlineStr">
        <is>
          <t>The Amazon River has an average discharge of about 215,000 to 230,000 cubic meters per second [S2]. Specifically, the average discharge at the estuary from 2003 to 2015 was 230,000 m³/s [S1]. If the Amazon and Rio Pará are considered a single water system, the total discharge at the Amazon Delta averages 223,700 m³/s, or 230,000 m³/s for the period 2003–2015 [S3].</t>
        </is>
      </c>
      <c r="G6" s="2" t="inlineStr">
        <is>
          <t>correct</t>
        </is>
      </c>
      <c r="H6" s="2" t="inlineStr">
        <is>
          <t>States 215,000 to 230,000 m3/s.</t>
        </is>
      </c>
      <c r="I6" s="2" t="inlineStr">
        <is>
          <t>yes</t>
        </is>
      </c>
      <c r="J6" s="2" t="inlineStr">
        <is>
          <t>A cited chunk contains the expected phrase.</t>
        </is>
      </c>
      <c r="K6" s="2" t="n">
        <v>0.001366</v>
      </c>
    </row>
    <row r="7">
      <c r="A7" s="2" t="inlineStr">
        <is>
          <t>R1</t>
        </is>
      </c>
      <c r="B7" s="2" t="inlineStr">
        <is>
          <t>R1</t>
        </is>
      </c>
      <c r="C7" s="2" t="inlineStr">
        <is>
          <t>w2-q5</t>
        </is>
      </c>
      <c r="D7" s="2" t="inlineStr">
        <is>
          <t>Who published the first generally accepted periodic table, and in what year?</t>
        </is>
      </c>
      <c r="E7" s="2" t="inlineStr">
        <is>
          <t>Dmitri Mendeleev, in 1869.</t>
        </is>
      </c>
      <c r="F7" s="2" t="inlineStr">
        <is>
          <t>The first generally accepted periodic table was published by the Russian chemist Dmitri Mendeleev in 1869 [S1].</t>
        </is>
      </c>
      <c r="G7" s="2" t="inlineStr">
        <is>
          <t>correct</t>
        </is>
      </c>
      <c r="H7" s="2" t="inlineStr">
        <is>
          <t>Mendeleev, 1869.</t>
        </is>
      </c>
      <c r="I7" s="2" t="inlineStr">
        <is>
          <t>yes</t>
        </is>
      </c>
      <c r="J7" s="2" t="inlineStr">
        <is>
          <t>A cited chunk contains the expected phrase.</t>
        </is>
      </c>
      <c r="K7" s="2" t="n">
        <v>0.0005045</v>
      </c>
    </row>
    <row r="8">
      <c r="A8" s="2" t="inlineStr">
        <is>
          <t>R1</t>
        </is>
      </c>
      <c r="B8" s="2" t="inlineStr">
        <is>
          <t>R1</t>
        </is>
      </c>
      <c r="C8" s="2" t="inlineStr">
        <is>
          <t>w3-q1</t>
        </is>
      </c>
      <c r="D8" s="2" t="inlineStr">
        <is>
          <t>What was the minimum hourly wage for workers under 18 from April 2024 to March 2025?</t>
        </is>
      </c>
      <c r="E8" s="2" t="inlineStr">
        <is>
          <t>£6.40</t>
        </is>
      </c>
      <c r="F8" s="2" t="inlineStr">
        <is>
          <t>The minimum hourly wage for workers under 18 from April 2024 to March 2025 was £6.40 [S1].</t>
        </is>
      </c>
      <c r="G8" s="2" t="inlineStr">
        <is>
          <t>correct</t>
        </is>
      </c>
      <c r="H8" s="2" t="inlineStr">
        <is>
          <t>States £6.40.</t>
        </is>
      </c>
      <c r="I8" s="2" t="inlineStr">
        <is>
          <t>yes</t>
        </is>
      </c>
      <c r="J8" s="2" t="inlineStr">
        <is>
          <t>A cited chunk contains the expected phrase.</t>
        </is>
      </c>
      <c r="K8" s="2" t="n">
        <v>0.00014812</v>
      </c>
    </row>
    <row r="9">
      <c r="A9" s="2" t="inlineStr">
        <is>
          <t>R1</t>
        </is>
      </c>
      <c r="B9" s="2" t="inlineStr">
        <is>
          <t>R1</t>
        </is>
      </c>
      <c r="C9" s="2" t="inlineStr">
        <is>
          <t>w3-q2</t>
        </is>
      </c>
      <c r="D9" s="2" t="inlineStr">
        <is>
          <t>Which taxable income band does the 40% higher rate of Income Tax cover?</t>
        </is>
      </c>
      <c r="E9" s="2" t="inlineStr">
        <is>
          <t>£50,271 to £125,140</t>
        </is>
      </c>
      <c r="F9" s="2" t="inlineStr">
        <is>
          <t>The 40% higher rate of Income Tax covers taxable income from £50,271 to £125,140 [S1].</t>
        </is>
      </c>
      <c r="G9" s="2" t="inlineStr">
        <is>
          <t>correct</t>
        </is>
      </c>
      <c r="H9" s="2" t="inlineStr">
        <is>
          <t>States £50,271 to £125,140.</t>
        </is>
      </c>
      <c r="I9" s="2" t="inlineStr">
        <is>
          <t>yes</t>
        </is>
      </c>
      <c r="J9" s="2" t="inlineStr">
        <is>
          <t>A cited chunk contains the expected phrase.</t>
        </is>
      </c>
      <c r="K9" s="2" t="n">
        <v>0.0004699</v>
      </c>
    </row>
    <row r="10">
      <c r="A10" s="2" t="inlineStr">
        <is>
          <t>R1</t>
        </is>
      </c>
      <c r="B10" s="2" t="inlineStr">
        <is>
          <t>R1</t>
        </is>
      </c>
      <c r="C10" s="2" t="inlineStr">
        <is>
          <t>w3-q6</t>
        </is>
      </c>
      <c r="D10" s="2" t="inlineStr">
        <is>
          <t>What is the first vehicle tax payment for a petrol car emitting 111 to 130g/km of CO2?</t>
        </is>
      </c>
      <c r="E10" s="2" t="inlineStr">
        <is>
          <t>£455</t>
        </is>
      </c>
      <c r="F10" s="2" t="inlineStr">
        <is>
          <t>The first vehicle tax payment for a petrol car emitting 111 to 130g/km of CO2 is £455 [S2].</t>
        </is>
      </c>
      <c r="G10" s="2" t="inlineStr">
        <is>
          <t>correct</t>
        </is>
      </c>
      <c r="H10" s="2" t="inlineStr">
        <is>
          <t>States £455 despite the flattened table.</t>
        </is>
      </c>
      <c r="I10" s="2" t="inlineStr">
        <is>
          <t>yes</t>
        </is>
      </c>
      <c r="J10" s="2" t="inlineStr">
        <is>
          <t>A cited chunk contains the expected phrase.</t>
        </is>
      </c>
      <c r="K10" s="2" t="n">
        <v>0.000811</v>
      </c>
    </row>
    <row r="11">
      <c r="A11" s="2" t="inlineStr">
        <is>
          <t>R1</t>
        </is>
      </c>
      <c r="B11" s="2" t="inlineStr">
        <is>
          <t>R1</t>
        </is>
      </c>
      <c r="C11" s="2" t="inlineStr">
        <is>
          <t>w4-q1</t>
        </is>
      </c>
      <c r="D11" s="2" t="inlineStr">
        <is>
          <t>What does HTTP status 418 I'm a teapot mean?</t>
        </is>
      </c>
      <c r="E11" s="2" t="inlineStr">
        <is>
          <t>The server refuses the attempt to brew coffee with a teapot.</t>
        </is>
      </c>
      <c r="F11" s="2" t="inlineStr">
        <is>
          <t>The HTTP status 418 I'm a teapot means that the server refuses to brew coffee with a teapot [S1].</t>
        </is>
      </c>
      <c r="G11" s="2" t="inlineStr">
        <is>
          <t>correct</t>
        </is>
      </c>
      <c r="H11" s="2" t="inlineStr">
        <is>
          <t>Refuses to brew coffee with a teapot.</t>
        </is>
      </c>
      <c r="I11" s="2" t="inlineStr">
        <is>
          <t>yes</t>
        </is>
      </c>
      <c r="J11" s="2" t="inlineStr">
        <is>
          <t>A cited chunk contains the expected phrase.</t>
        </is>
      </c>
      <c r="K11" s="2" t="n">
        <v>0.0005777999999999999</v>
      </c>
    </row>
    <row r="12">
      <c r="A12" s="2" t="inlineStr">
        <is>
          <t>R1</t>
        </is>
      </c>
      <c r="B12" s="2" t="inlineStr">
        <is>
          <t>R1</t>
        </is>
      </c>
      <c r="C12" s="2" t="inlineStr">
        <is>
          <t>w4-q4</t>
        </is>
      </c>
      <c r="D12" s="2" t="inlineStr">
        <is>
          <t>What is a closure in JavaScript?</t>
        </is>
      </c>
      <c r="E12" s="2" t="inlineStr">
        <is>
          <t>The combination of a function bundled together with references to its surrounding state (the lexical environment).</t>
        </is>
      </c>
      <c r="F12" s="2" t="inlineStr">
        <is>
          <t>A closure in JavaScript is the combination of a function and its surrounding state (the lexical environment) [S1]. It allows a function to access its outer scope [S1]. Closures are created every time a function is created [S1]. This means that a function maintains access to variables that were in scope when the closure was created, even after the outer function has finished executing [S3, S5].</t>
        </is>
      </c>
      <c r="G12" s="2" t="inlineStr">
        <is>
          <t>correct</t>
        </is>
      </c>
      <c r="H12" s="2" t="inlineStr">
        <is>
          <t>Function plus surrounding lexical environment.</t>
        </is>
      </c>
      <c r="I12" s="2" t="inlineStr">
        <is>
          <t>yes</t>
        </is>
      </c>
      <c r="J12" s="2" t="inlineStr">
        <is>
          <t>A cited chunk contains the expected phrase.</t>
        </is>
      </c>
      <c r="K12" s="2" t="n">
        <v>0.0006591</v>
      </c>
    </row>
    <row r="13">
      <c r="A13" s="2" t="inlineStr">
        <is>
          <t>R1</t>
        </is>
      </c>
      <c r="B13" s="2" t="inlineStr">
        <is>
          <t>R1</t>
        </is>
      </c>
      <c r="C13" s="2" t="inlineStr">
        <is>
          <t>w4-q8</t>
        </is>
      </c>
      <c r="D13" s="2" t="inlineStr">
        <is>
          <t>Which HTTP status code means Payment Accepted?</t>
        </is>
      </c>
      <c r="E13" s="2" t="inlineStr">
        <is>
          <t>Not stated in the source (no such status code).</t>
        </is>
      </c>
      <c r="F13" s="2" t="inlineStr">
        <is>
          <t>INSUFFICIENT_EVIDENCE. The provided documents do not list an HTTP status code that means "Payment Accepted." They do mention "402 Payment Required," but this is a different meaning [S2].</t>
        </is>
      </c>
      <c r="G13" s="2" t="inlineStr">
        <is>
          <t>correct-abstain</t>
        </is>
      </c>
      <c r="H13" s="2" t="inlineStr">
        <is>
          <t>Declines and notes 402 Payment Required is different.</t>
        </is>
      </c>
      <c r="I13" s="2" t="inlineStr">
        <is>
          <t>n/a</t>
        </is>
      </c>
      <c r="J13" s="2" t="inlineStr">
        <is>
          <t>No answer to support.</t>
        </is>
      </c>
      <c r="K13" s="2" t="n">
        <v>0.0005723</v>
      </c>
    </row>
    <row r="14">
      <c r="A14" s="2" t="inlineStr">
        <is>
          <t>R1w</t>
        </is>
      </c>
      <c r="B14" s="2" t="inlineStr">
        <is>
          <t>R1w</t>
        </is>
      </c>
      <c r="C14" s="2" t="inlineStr">
        <is>
          <t>f1-q1</t>
        </is>
      </c>
      <c r="D14" s="2" t="inlineStr">
        <is>
          <t>What are the layer, hidden size and attention head settings of BERT-base?</t>
        </is>
      </c>
      <c r="E14" s="2" t="inlineStr">
        <is>
          <t>12 layers, hidden size 768, 12 attention heads (110M parameters).</t>
        </is>
      </c>
      <c r="F14" s="2" t="inlineStr">
        <is>
          <t>BERT-base has 12 layers (L=12), a hidden size of 768 (H=768), and 12 attention heads (A=12) [S2].</t>
        </is>
      </c>
      <c r="G14" s="2" t="inlineStr">
        <is>
          <t>correct</t>
        </is>
      </c>
      <c r="H14" s="2" t="inlineStr">
        <is>
          <t>States L=12, H=768, A=12.</t>
        </is>
      </c>
      <c r="I14" s="2" t="inlineStr">
        <is>
          <t>yes</t>
        </is>
      </c>
      <c r="J14" s="2" t="inlineStr">
        <is>
          <t>A cited chunk contains the expected phrase.</t>
        </is>
      </c>
      <c r="K14" s="2" t="n">
        <v>0.0007998</v>
      </c>
    </row>
    <row r="15">
      <c r="A15" s="2" t="inlineStr">
        <is>
          <t>R1w</t>
        </is>
      </c>
      <c r="B15" s="2" t="inlineStr">
        <is>
          <t>R1w</t>
        </is>
      </c>
      <c r="C15" s="2" t="inlineStr">
        <is>
          <t>f1-q4</t>
        </is>
      </c>
      <c r="D15" s="2" t="inlineStr">
        <is>
          <t>Which corpora were used to pre-train BERT?</t>
        </is>
      </c>
      <c r="E15" s="2" t="inlineStr">
        <is>
          <t>BooksCorpus (800M words) and English Wikipedia (2,500M words).</t>
        </is>
      </c>
      <c r="F15" s="2" t="inlineStr">
        <is>
          <t>The BooksCorpus (800M words) and English Wikipedia (2,500M words) were used to pre-train BERT [S1].</t>
        </is>
      </c>
      <c r="G15" s="2" t="inlineStr">
        <is>
          <t>correct</t>
        </is>
      </c>
      <c r="H15" s="2" t="inlineStr">
        <is>
          <t>Names both corpora with sizes.</t>
        </is>
      </c>
      <c r="I15" s="2" t="inlineStr">
        <is>
          <t>yes</t>
        </is>
      </c>
      <c r="J15" s="2" t="inlineStr">
        <is>
          <t>A cited chunk contains the expected phrase.</t>
        </is>
      </c>
      <c r="K15" s="2" t="n">
        <v>0.0003391</v>
      </c>
    </row>
    <row r="16">
      <c r="A16" s="2" t="inlineStr">
        <is>
          <t>R1w</t>
        </is>
      </c>
      <c r="B16" s="2" t="inlineStr">
        <is>
          <t>R1w</t>
        </is>
      </c>
      <c r="C16" s="2" t="inlineStr">
        <is>
          <t>f2-q1</t>
        </is>
      </c>
      <c r="D16" s="2" t="inlineStr">
        <is>
          <t>What was real median household income in the United States in 2022?</t>
        </is>
      </c>
      <c r="E16" s="2" t="inlineStr">
        <is>
          <t>$74,580</t>
        </is>
      </c>
      <c r="F16" s="2" t="inlineStr">
        <is>
          <t>Real median household income in the United States was $74,580 in 2022 [S1].</t>
        </is>
      </c>
      <c r="G16" s="2" t="inlineStr">
        <is>
          <t>correct</t>
        </is>
      </c>
      <c r="H16" s="2" t="inlineStr">
        <is>
          <t>States $74,580.</t>
        </is>
      </c>
      <c r="I16" s="2" t="inlineStr">
        <is>
          <t>yes</t>
        </is>
      </c>
      <c r="J16" s="2" t="inlineStr">
        <is>
          <t>A cited chunk contains the expected phrase.</t>
        </is>
      </c>
      <c r="K16" s="2" t="n">
        <v>0.0006089</v>
      </c>
    </row>
    <row r="17">
      <c r="A17" s="2" t="inlineStr">
        <is>
          <t>R1w</t>
        </is>
      </c>
      <c r="B17" s="2" t="inlineStr">
        <is>
          <t>R1w</t>
        </is>
      </c>
      <c r="C17" s="2" t="inlineStr">
        <is>
          <t>f2-q4</t>
        </is>
      </c>
      <c r="D17" s="2" t="inlineStr">
        <is>
          <t>What was the median income of married-couple households in 2022 according to Table A-1?</t>
        </is>
      </c>
      <c r="E17" s="2" t="inlineStr">
        <is>
          <t>$110,800</t>
        </is>
      </c>
      <c r="F17" s="2" t="inlineStr">
        <is>
          <t>INSUFFICIENT_EVIDENCE. The provided text states that "For most demographic character istics of the householder shown in Figure 1 and Table A-1, the 2022 real median household income estimates either declined from the 2021 estimates or were not statistically different from 2021" [S2]. It also mentions that "Among family house holds, married couples had the highest median income in 2022 ($110,800)" [S1]. However, the exact median income for married-couple households specifically from Table A-1 is not provided in the given evidence.</t>
        </is>
      </c>
      <c r="G17" s="2" t="inlineStr">
        <is>
          <t>wrong-abstain</t>
        </is>
      </c>
      <c r="H17" s="2" t="inlineStr">
        <is>
          <t>Declined although $110,800 for married couples was in the evidence; the table row itself was unusable.</t>
        </is>
      </c>
      <c r="I17" s="2" t="inlineStr">
        <is>
          <t>n/a</t>
        </is>
      </c>
      <c r="J17" s="2" t="inlineStr">
        <is>
          <t>No answer to support.</t>
        </is>
      </c>
      <c r="K17" s="2" t="n">
        <v>0.0009961</v>
      </c>
    </row>
    <row r="18">
      <c r="A18" s="2" t="inlineStr">
        <is>
          <t>R1w</t>
        </is>
      </c>
      <c r="B18" s="2" t="inlineStr">
        <is>
          <t>R1w</t>
        </is>
      </c>
      <c r="C18" s="2" t="inlineStr">
        <is>
          <t>f2-q6</t>
        </is>
      </c>
      <c r="D18" s="2" t="inlineStr">
        <is>
          <t>What was the median income of nonfamily households in 2022 according to Table A-1?</t>
        </is>
      </c>
      <c r="E18" s="2" t="inlineStr">
        <is>
          <t>$45,440</t>
        </is>
      </c>
      <c r="F18" s="2" t="inlineStr">
        <is>
          <t>Nonfamily households had a median income of $45,440 in 2022 [S1].</t>
        </is>
      </c>
      <c r="G18" s="2" t="inlineStr">
        <is>
          <t>correct</t>
        </is>
      </c>
      <c r="H18" s="2" t="inlineStr">
        <is>
          <t>States $45,440.</t>
        </is>
      </c>
      <c r="I18" s="2" t="inlineStr">
        <is>
          <t>yes</t>
        </is>
      </c>
      <c r="J18" s="2" t="inlineStr">
        <is>
          <t>A cited chunk contains the expected phrase.</t>
        </is>
      </c>
      <c r="K18" s="2" t="n">
        <v>0.0006445</v>
      </c>
    </row>
    <row r="19">
      <c r="A19" s="2" t="inlineStr">
        <is>
          <t>R1w</t>
        </is>
      </c>
      <c r="B19" s="2" t="inlineStr">
        <is>
          <t>R1w</t>
        </is>
      </c>
      <c r="C19" s="2" t="inlineStr">
        <is>
          <t>f3-q1</t>
        </is>
      </c>
      <c r="D19" s="2" t="inlineStr">
        <is>
          <t>How many television pictures does Part III of the Surveyor VI report present?</t>
        </is>
      </c>
      <c r="E19" s="2" t="inlineStr">
        <is>
          <t>139 pictures.</t>
        </is>
      </c>
      <c r="F19" s="2" t="inlineStr">
        <is>
          <t>Part III of the Surveyor VI report presents 139 television pictures [S1, S2].</t>
        </is>
      </c>
      <c r="G19" s="2" t="inlineStr">
        <is>
          <t>correct</t>
        </is>
      </c>
      <c r="H19" s="2" t="inlineStr">
        <is>
          <t>States 139 pictures.</t>
        </is>
      </c>
      <c r="I19" s="2" t="inlineStr">
        <is>
          <t>yes</t>
        </is>
      </c>
      <c r="J19" s="2" t="inlineStr">
        <is>
          <t>A cited chunk contains the expected phrase.</t>
        </is>
      </c>
      <c r="K19" s="2" t="n">
        <v>0.0004443</v>
      </c>
    </row>
    <row r="20">
      <c r="A20" s="2" t="inlineStr">
        <is>
          <t>R1w</t>
        </is>
      </c>
      <c r="B20" s="2" t="inlineStr">
        <is>
          <t>R1w</t>
        </is>
      </c>
      <c r="C20" s="2" t="inlineStr">
        <is>
          <t>f3-q4</t>
        </is>
      </c>
      <c r="D20" s="2" t="inlineStr">
        <is>
          <t>What is the mass of the Surveyor survey TV camera?</t>
        </is>
      </c>
      <c r="E20" s="2" t="inlineStr">
        <is>
          <t>7.3 kg.</t>
        </is>
      </c>
      <c r="F20" s="2" t="inlineStr">
        <is>
          <t>The Surveyor survey TV camera has a mass of 7.3 kg [S3].</t>
        </is>
      </c>
      <c r="G20" s="2" t="inlineStr">
        <is>
          <t>correct</t>
        </is>
      </c>
      <c r="H20" s="2" t="inlineStr">
        <is>
          <t>States 7.3 kg.</t>
        </is>
      </c>
      <c r="I20" s="2" t="inlineStr">
        <is>
          <t>yes</t>
        </is>
      </c>
      <c r="J20" s="2" t="inlineStr">
        <is>
          <t>A cited chunk contains the expected phrase.</t>
        </is>
      </c>
      <c r="K20" s="2" t="n">
        <v>0.000513</v>
      </c>
    </row>
    <row r="21">
      <c r="A21" s="2" t="inlineStr">
        <is>
          <t>R1w</t>
        </is>
      </c>
      <c r="B21" s="2" t="inlineStr">
        <is>
          <t>R1w</t>
        </is>
      </c>
      <c r="C21" s="2" t="inlineStr">
        <is>
          <t>f3-q8</t>
        </is>
      </c>
      <c r="D21" s="2" t="inlineStr">
        <is>
          <t>What was the landing site latitude of Surveyor VII?</t>
        </is>
      </c>
      <c r="E21" s="2" t="inlineStr">
        <is>
          <t>Not stated in the source.</t>
        </is>
      </c>
      <c r="F21" s="2" t="inlineStr">
        <is>
          <t>INSUFFICIENT_EVIDENCE. The provided documents discuss the Surveyor VI mission but do not contain information about the landing site latitude of Surveyor VII [S1, S2, S3, S4, S5].</t>
        </is>
      </c>
      <c r="G21" s="2" t="inlineStr">
        <is>
          <t>correct-abstain</t>
        </is>
      </c>
      <c r="H21" s="2" t="inlineStr">
        <is>
          <t>Correctly declines; Surveyor VII is not in the source.</t>
        </is>
      </c>
      <c r="I21" s="2" t="inlineStr">
        <is>
          <t>n/a</t>
        </is>
      </c>
      <c r="J21" s="2" t="inlineStr">
        <is>
          <t>No answer to support.</t>
        </is>
      </c>
      <c r="K21" s="2" t="n">
        <v>0.0004866</v>
      </c>
    </row>
    <row r="22">
      <c r="A22" s="2" t="inlineStr">
        <is>
          <t>R2</t>
        </is>
      </c>
      <c r="B22" s="2" t="inlineStr">
        <is>
          <t>R2</t>
        </is>
      </c>
      <c r="C22" s="2" t="inlineStr">
        <is>
          <t>f1-q1</t>
        </is>
      </c>
      <c r="D22" s="2" t="inlineStr">
        <is>
          <t>What are the layer, hidden size and attention head settings of BERT-base?</t>
        </is>
      </c>
      <c r="E22" s="2" t="inlineStr">
        <is>
          <t>12 layers, hidden size 768, 12 attention heads (110M parameters).</t>
        </is>
      </c>
      <c r="F22" s="2" t="inlineStr">
        <is>
          <t>BERT-base has 12 layers (L=12), a hidden size of 768 (H=768), and 12 attention heads (A=12) [S3].</t>
        </is>
      </c>
      <c r="G22" s="2" t="inlineStr">
        <is>
          <t>correct</t>
        </is>
      </c>
      <c r="H22" s="2" t="inlineStr">
        <is>
          <t>States L=12, H=768, A=12.</t>
        </is>
      </c>
      <c r="I22" s="2" t="inlineStr">
        <is>
          <t>yes</t>
        </is>
      </c>
      <c r="J22" s="2" t="inlineStr">
        <is>
          <t>A cited chunk contains the expected phrase.</t>
        </is>
      </c>
      <c r="K22" s="2" t="n">
        <v>0.0006216</v>
      </c>
    </row>
    <row r="23">
      <c r="A23" s="2" t="inlineStr">
        <is>
          <t>R2</t>
        </is>
      </c>
      <c r="B23" s="2" t="inlineStr">
        <is>
          <t>R2</t>
        </is>
      </c>
      <c r="C23" s="2" t="inlineStr">
        <is>
          <t>f1-q4</t>
        </is>
      </c>
      <c r="D23" s="2" t="inlineStr">
        <is>
          <t>Which corpora were used to pre-train BERT?</t>
        </is>
      </c>
      <c r="E23" s="2" t="inlineStr">
        <is>
          <t>BooksCorpus (800M words) and English Wikipedia (2,500M words).</t>
        </is>
      </c>
      <c r="F23" s="2" t="inlineStr">
        <is>
          <t>BERT was pre-trained using the BooksCorpus (800M words) and English Wikipedia (2,500M words) [S2, S3]. For Wikipedia, only text passages were extracted, excluding lists, tables, and headers [S2].</t>
        </is>
      </c>
      <c r="G23" s="2" t="inlineStr">
        <is>
          <t>correct</t>
        </is>
      </c>
      <c r="H23" s="2" t="inlineStr">
        <is>
          <t>Names both corpora with sizes.</t>
        </is>
      </c>
      <c r="I23" s="2" t="inlineStr">
        <is>
          <t>yes</t>
        </is>
      </c>
      <c r="J23" s="2" t="inlineStr">
        <is>
          <t>A cited chunk contains the expected phrase.</t>
        </is>
      </c>
      <c r="K23" s="2" t="n">
        <v>0.000395</v>
      </c>
    </row>
    <row r="24">
      <c r="A24" s="2" t="inlineStr">
        <is>
          <t>R2</t>
        </is>
      </c>
      <c r="B24" s="2" t="inlineStr">
        <is>
          <t>R2</t>
        </is>
      </c>
      <c r="C24" s="2" t="inlineStr">
        <is>
          <t>f2-q1</t>
        </is>
      </c>
      <c r="D24" s="2" t="inlineStr">
        <is>
          <t>What was real median household income in the United States in 2022?</t>
        </is>
      </c>
      <c r="E24" s="2" t="inlineStr">
        <is>
          <t>$74,580</t>
        </is>
      </c>
      <c r="F24" s="2" t="inlineStr">
        <is>
          <t>In 2022, the real median household income in the United States was $74,580 [S1, S2]. This was a 2.3 percent decrease from the 2021 estimate of $76,330 [S1, S3].</t>
        </is>
      </c>
      <c r="G24" s="2" t="inlineStr">
        <is>
          <t>correct</t>
        </is>
      </c>
      <c r="H24" s="2" t="inlineStr">
        <is>
          <t>States $74,580.</t>
        </is>
      </c>
      <c r="I24" s="2" t="inlineStr">
        <is>
          <t>yes</t>
        </is>
      </c>
      <c r="J24" s="2" t="inlineStr">
        <is>
          <t>A cited chunk contains the expected phrase.</t>
        </is>
      </c>
      <c r="K24" s="2" t="n">
        <v>0.000654</v>
      </c>
    </row>
    <row r="25">
      <c r="A25" s="2" t="inlineStr">
        <is>
          <t>R2</t>
        </is>
      </c>
      <c r="B25" s="2" t="inlineStr">
        <is>
          <t>R2</t>
        </is>
      </c>
      <c r="C25" s="2" t="inlineStr">
        <is>
          <t>f2-q4</t>
        </is>
      </c>
      <c r="D25" s="2" t="inlineStr">
        <is>
          <t>What was the median income of married-couple households in 2022 according to Table A-1?</t>
        </is>
      </c>
      <c r="E25" s="2" t="inlineStr">
        <is>
          <t>$110,800</t>
        </is>
      </c>
      <c r="F25" s="2" t="inlineStr">
        <is>
          <t>INSUFFICIENT_EVIDENCE. The provided text states that married couples had the highest median income in 2022 ($110,800) [S1], and mentions that Table A-1 contains 2022 real median household income estimates [S2, S3, S4, S5], but it does not explicitly state the median income of married-couple households *according to Table A-1*.</t>
        </is>
      </c>
      <c r="G25" s="2" t="inlineStr">
        <is>
          <t>wrong-abstain</t>
        </is>
      </c>
      <c r="H25" s="2" t="inlineStr">
        <is>
          <t>Declined although $110,800 for married couples was in the evidence; the table row itself was unusable.</t>
        </is>
      </c>
      <c r="I25" s="2" t="inlineStr">
        <is>
          <t>n/a</t>
        </is>
      </c>
      <c r="J25" s="2" t="inlineStr">
        <is>
          <t>No answer to support.</t>
        </is>
      </c>
      <c r="K25" s="2" t="n">
        <v>0.0008693</v>
      </c>
    </row>
    <row r="26">
      <c r="A26" s="2" t="inlineStr">
        <is>
          <t>R2</t>
        </is>
      </c>
      <c r="B26" s="2" t="inlineStr">
        <is>
          <t>R2</t>
        </is>
      </c>
      <c r="C26" s="2" t="inlineStr">
        <is>
          <t>f2-q6</t>
        </is>
      </c>
      <c r="D26" s="2" t="inlineStr">
        <is>
          <t>What was the median income of nonfamily households in 2022 according to Table A-1?</t>
        </is>
      </c>
      <c r="E26" s="2" t="inlineStr">
        <is>
          <t>$45,440</t>
        </is>
      </c>
      <c r="F26" s="2" t="inlineStr">
        <is>
          <t>Nonfamily households had a median income of $45,440 in 2022 [S1].</t>
        </is>
      </c>
      <c r="G26" s="2" t="inlineStr">
        <is>
          <t>correct</t>
        </is>
      </c>
      <c r="H26" s="2" t="inlineStr">
        <is>
          <t>States $45,440.</t>
        </is>
      </c>
      <c r="I26" s="2" t="inlineStr">
        <is>
          <t>yes</t>
        </is>
      </c>
      <c r="J26" s="2" t="inlineStr">
        <is>
          <t>A cited chunk contains the expected phrase.</t>
        </is>
      </c>
      <c r="K26" s="2" t="n">
        <v>0.0007012</v>
      </c>
    </row>
    <row r="27">
      <c r="A27" s="2" t="inlineStr">
        <is>
          <t>R2</t>
        </is>
      </c>
      <c r="B27" s="2" t="inlineStr">
        <is>
          <t>R2</t>
        </is>
      </c>
      <c r="C27" s="2" t="inlineStr">
        <is>
          <t>f3-q1</t>
        </is>
      </c>
      <c r="D27" s="2" t="inlineStr">
        <is>
          <t>How many television pictures does Part III of the Surveyor VI report present?</t>
        </is>
      </c>
      <c r="E27" s="2" t="inlineStr">
        <is>
          <t>139 pictures.</t>
        </is>
      </c>
      <c r="F27" s="2" t="inlineStr">
        <is>
          <t>Part III of the Surveyor VI report presents 139 television pictures [S1, S2].</t>
        </is>
      </c>
      <c r="G27" s="2" t="inlineStr">
        <is>
          <t>correct</t>
        </is>
      </c>
      <c r="H27" s="2" t="inlineStr">
        <is>
          <t>States 139 pictures.</t>
        </is>
      </c>
      <c r="I27" s="2" t="inlineStr">
        <is>
          <t>yes</t>
        </is>
      </c>
      <c r="J27" s="2" t="inlineStr">
        <is>
          <t>A cited chunk contains the expected phrase.</t>
        </is>
      </c>
      <c r="K27" s="2" t="n">
        <v>0.0005619000000000001</v>
      </c>
    </row>
    <row r="28">
      <c r="A28" s="2" t="inlineStr">
        <is>
          <t>R2</t>
        </is>
      </c>
      <c r="B28" s="2" t="inlineStr">
        <is>
          <t>R2</t>
        </is>
      </c>
      <c r="C28" s="2" t="inlineStr">
        <is>
          <t>f3-q4</t>
        </is>
      </c>
      <c r="D28" s="2" t="inlineStr">
        <is>
          <t>What is the mass of the Surveyor survey TV camera?</t>
        </is>
      </c>
      <c r="E28" s="2" t="inlineStr">
        <is>
          <t>7.3 kg.</t>
        </is>
      </c>
      <c r="F28" s="2" t="inlineStr">
        <is>
          <t>The Surveyor survey TV camera has a mass of 7.3 kg [S2].</t>
        </is>
      </c>
      <c r="G28" s="2" t="inlineStr">
        <is>
          <t>correct</t>
        </is>
      </c>
      <c r="H28" s="2" t="inlineStr">
        <is>
          <t>States 7.3 kg.</t>
        </is>
      </c>
      <c r="I28" s="2" t="inlineStr">
        <is>
          <t>yes</t>
        </is>
      </c>
      <c r="J28" s="2" t="inlineStr">
        <is>
          <t>A cited chunk contains the expected phrase.</t>
        </is>
      </c>
      <c r="K28" s="2" t="n">
        <v>0.000615</v>
      </c>
    </row>
    <row r="29">
      <c r="A29" s="2" t="inlineStr">
        <is>
          <t>R2</t>
        </is>
      </c>
      <c r="B29" s="2" t="inlineStr">
        <is>
          <t>R2</t>
        </is>
      </c>
      <c r="C29" s="2" t="inlineStr">
        <is>
          <t>f3-q8</t>
        </is>
      </c>
      <c r="D29" s="2" t="inlineStr">
        <is>
          <t>What was the landing site latitude of Surveyor VII?</t>
        </is>
      </c>
      <c r="E29" s="2" t="inlineStr">
        <is>
          <t>Not stated in the source.</t>
        </is>
      </c>
      <c r="F29" s="2" t="inlineStr">
        <is>
          <t>INSUFFICIENT_EVIDENCE. The provided documents discuss Surveyor VI, not Surveyor VII, and do not contain information about the landing site latitude of Surveyor VII [S1, S2, S3, S4, S5].</t>
        </is>
      </c>
      <c r="G29" s="2" t="inlineStr">
        <is>
          <t>correct-abstain</t>
        </is>
      </c>
      <c r="H29" s="2" t="inlineStr">
        <is>
          <t>Correctly declines; Surveyor VII is not in the source.</t>
        </is>
      </c>
      <c r="I29" s="2" t="inlineStr">
        <is>
          <t>n/a</t>
        </is>
      </c>
      <c r="J29" s="2" t="inlineStr">
        <is>
          <t>No answer to support.</t>
        </is>
      </c>
      <c r="K29" s="2" t="n">
        <v>0.0005982</v>
      </c>
    </row>
    <row r="30">
      <c r="A30" s="2" t="inlineStr">
        <is>
          <t>A1</t>
        </is>
      </c>
      <c r="B30" s="2" t="inlineStr">
        <is>
          <t>A1</t>
        </is>
      </c>
      <c r="C30" s="2" t="inlineStr">
        <is>
          <t>w1-q1</t>
        </is>
      </c>
      <c r="D30" s="2" t="inlineStr">
        <is>
          <t>Which class does the Python tutorial recommend for implementing a queue?</t>
        </is>
      </c>
      <c r="E30" s="2" t="inlineStr">
        <is>
          <t>collections.deque</t>
        </is>
      </c>
      <c r="F30" s="2" t="inlineStr">
        <is>
          <t>The Python tutorial recommends using `collections.deque` for implementing a queue because it is designed for fast appends and pops from both ends [S2, S1].</t>
        </is>
      </c>
      <c r="G30" s="2" t="inlineStr">
        <is>
          <t>correct</t>
        </is>
      </c>
      <c r="H30" s="2" t="inlineStr">
        <is>
          <t>Matches the reference answer.</t>
        </is>
      </c>
      <c r="I30" s="2" t="inlineStr">
        <is>
          <t>yes</t>
        </is>
      </c>
      <c r="J30" s="2" t="inlineStr">
        <is>
          <t>A source the answer names contains the expected phrase.</t>
        </is>
      </c>
      <c r="K30" s="2" t="n">
        <v>0.0005419</v>
      </c>
    </row>
    <row r="31">
      <c r="A31" s="2" t="inlineStr">
        <is>
          <t>A1</t>
        </is>
      </c>
      <c r="B31" s="2" t="inlineStr">
        <is>
          <t>A1</t>
        </is>
      </c>
      <c r="C31" s="2" t="inlineStr">
        <is>
          <t>w1-q3</t>
        </is>
      </c>
      <c r="D31" s="2" t="inlineStr">
        <is>
          <t>What command does the tutorial use to create a virtual environment called tutorial-env?</t>
        </is>
      </c>
      <c r="E31" s="2" t="inlineStr">
        <is>
          <t>python -m venv tutorial-env</t>
        </is>
      </c>
      <c r="F31" s="2" t="inlineStr">
        <is>
          <t>The tutorial uses the command `python -m venv tutorial-env` to create a virtual environment named tutorial-env [S1].</t>
        </is>
      </c>
      <c r="G31" s="2" t="inlineStr">
        <is>
          <t>correct</t>
        </is>
      </c>
      <c r="H31" s="2" t="inlineStr">
        <is>
          <t>Matches the reference answer.</t>
        </is>
      </c>
      <c r="I31" s="2" t="inlineStr">
        <is>
          <t>yes</t>
        </is>
      </c>
      <c r="J31" s="2" t="inlineStr">
        <is>
          <t>A source the answer names contains the expected phrase.</t>
        </is>
      </c>
      <c r="K31" s="2" t="n">
        <v>0.0005854</v>
      </c>
    </row>
    <row r="32">
      <c r="A32" s="2" t="inlineStr">
        <is>
          <t>A1</t>
        </is>
      </c>
      <c r="B32" s="2" t="inlineStr">
        <is>
          <t>A1</t>
        </is>
      </c>
      <c r="C32" s="2" t="inlineStr">
        <is>
          <t>w1-q8</t>
        </is>
      </c>
      <c r="D32" s="2" t="inlineStr">
        <is>
          <t>On what date will Python 4.0 be released according to the tutorial?</t>
        </is>
      </c>
      <c r="E32" s="2" t="inlineStr">
        <is>
          <t>Not stated in the source.</t>
        </is>
      </c>
      <c r="F32" s="2" t="inlineStr">
        <is>
          <t>INSUFFICIENT_EVIDENCE. The provided text states that, according to Guido van Rossum, Python 4.0 will probably never exist [S2]. Therefore, there is no release date mentioned.</t>
        </is>
      </c>
      <c r="G32" s="2" t="inlineStr">
        <is>
          <t>correct-abstain</t>
        </is>
      </c>
      <c r="H32" s="2" t="inlineStr">
        <is>
          <t>Declined: the tutorial gives no date.</t>
        </is>
      </c>
      <c r="I32" s="2" t="inlineStr">
        <is>
          <t>n/a</t>
        </is>
      </c>
      <c r="J32" s="2" t="inlineStr">
        <is>
          <t>No answer to support.</t>
        </is>
      </c>
      <c r="K32" s="2" t="n">
        <v>0.000595</v>
      </c>
    </row>
    <row r="33">
      <c r="A33" s="2" t="inlineStr">
        <is>
          <t>A1</t>
        </is>
      </c>
      <c r="B33" s="2" t="inlineStr">
        <is>
          <t>A1</t>
        </is>
      </c>
      <c r="C33" s="2" t="inlineStr">
        <is>
          <t>w2-q1</t>
        </is>
      </c>
      <c r="D33" s="2" t="inlineStr">
        <is>
          <t>What is the elevation of Mount Everest in metres?</t>
        </is>
      </c>
      <c r="E33" s="2" t="inlineStr">
        <is>
          <t>8,848.86 m (29,031.7 ft)</t>
        </is>
      </c>
      <c r="F33" s="2" t="inlineStr">
        <is>
          <t>The new official height of Mount Everest, as jointly announced by China and Nepal on December 8, 2020, is 8,848.86 meters [S2].</t>
        </is>
      </c>
      <c r="G33" s="2" t="inlineStr">
        <is>
          <t>correct</t>
        </is>
      </c>
      <c r="H33" s="2" t="inlineStr">
        <is>
          <t>Matches the reference answer.</t>
        </is>
      </c>
      <c r="I33" s="2" t="inlineStr">
        <is>
          <t>yes</t>
        </is>
      </c>
      <c r="J33" s="2" t="inlineStr">
        <is>
          <t>A source the answer names contains the expected phrase.</t>
        </is>
      </c>
      <c r="K33" s="2" t="n">
        <v>0.0006736999999999999</v>
      </c>
    </row>
    <row r="34">
      <c r="A34" s="2" t="inlineStr">
        <is>
          <t>A1</t>
        </is>
      </c>
      <c r="B34" s="2" t="inlineStr">
        <is>
          <t>A1</t>
        </is>
      </c>
      <c r="C34" s="2" t="inlineStr">
        <is>
          <t>w2-q3</t>
        </is>
      </c>
      <c r="D34" s="2" t="inlineStr">
        <is>
          <t>What is the average discharge of the Amazon River?</t>
        </is>
      </c>
      <c r="E34" s="2" t="inlineStr">
        <is>
          <t>About 215,000 to 230,000 cubic meters per second.</t>
        </is>
      </c>
      <c r="F34" s="2" t="inlineStr">
        <is>
          <t>The Amazon River has an average discharge of about 215,000 to 230,000 cubic meters per second [S2]. From 2003 to 2015, the average discharge at the estuary was 230,000 m3/s [S1].</t>
        </is>
      </c>
      <c r="G34" s="2" t="inlineStr">
        <is>
          <t>correct</t>
        </is>
      </c>
      <c r="H34" s="2" t="inlineStr">
        <is>
          <t>Matches the reference answer.</t>
        </is>
      </c>
      <c r="I34" s="2" t="inlineStr">
        <is>
          <t>yes</t>
        </is>
      </c>
      <c r="J34" s="2" t="inlineStr">
        <is>
          <t>A source the answer names contains the expected phrase.</t>
        </is>
      </c>
      <c r="K34" s="2" t="n">
        <v>0.001105</v>
      </c>
    </row>
    <row r="35">
      <c r="A35" s="2" t="inlineStr">
        <is>
          <t>A1</t>
        </is>
      </c>
      <c r="B35" s="2" t="inlineStr">
        <is>
          <t>A1</t>
        </is>
      </c>
      <c r="C35" s="2" t="inlineStr">
        <is>
          <t>w2-q5</t>
        </is>
      </c>
      <c r="D35" s="2" t="inlineStr">
        <is>
          <t>Who published the first generally accepted periodic table, and in what year?</t>
        </is>
      </c>
      <c r="E35" s="2" t="inlineStr">
        <is>
          <t>Dmitri Mendeleev, in 1869.</t>
        </is>
      </c>
      <c r="F35" s="2" t="inlineStr">
        <is>
          <t>The first generally accepted periodic table was published by the Russian chemist Dmitri Mendeleev in 1869 [S1]. His printed table appeared in May 1869 in the journal of the Russian Chemical Society [S2].</t>
        </is>
      </c>
      <c r="G35" s="2" t="inlineStr">
        <is>
          <t>correct</t>
        </is>
      </c>
      <c r="H35" s="2" t="inlineStr">
        <is>
          <t>Matches the reference answer.</t>
        </is>
      </c>
      <c r="I35" s="2" t="inlineStr">
        <is>
          <t>yes</t>
        </is>
      </c>
      <c r="J35" s="2" t="inlineStr">
        <is>
          <t>A source the answer names contains the expected phrase.</t>
        </is>
      </c>
      <c r="K35" s="2" t="n">
        <v>0.0005674</v>
      </c>
    </row>
    <row r="36">
      <c r="A36" s="2" t="inlineStr">
        <is>
          <t>A1</t>
        </is>
      </c>
      <c r="B36" s="2" t="inlineStr">
        <is>
          <t>A1</t>
        </is>
      </c>
      <c r="C36" s="2" t="inlineStr">
        <is>
          <t>w3-q1</t>
        </is>
      </c>
      <c r="D36" s="2" t="inlineStr">
        <is>
          <t>What was the minimum hourly wage for workers under 18 from April 2024 to March 2025?</t>
        </is>
      </c>
      <c r="E36" s="2" t="inlineStr">
        <is>
          <t>£6.40</t>
        </is>
      </c>
      <c r="F36" s="2" t="inlineStr">
        <is>
          <t>The minimum hourly wage for workers under 18 from April 2024 to March 2025 was £6.40 [S1].</t>
        </is>
      </c>
      <c r="G36" s="2" t="inlineStr">
        <is>
          <t>correct</t>
        </is>
      </c>
      <c r="H36" s="2" t="inlineStr">
        <is>
          <t>Matches the reference answer.</t>
        </is>
      </c>
      <c r="I36" s="2" t="inlineStr">
        <is>
          <t>yes</t>
        </is>
      </c>
      <c r="J36" s="2" t="inlineStr">
        <is>
          <t>A source the answer names contains the expected phrase.</t>
        </is>
      </c>
      <c r="K36" s="2" t="n">
        <v>0.0006487</v>
      </c>
    </row>
    <row r="37">
      <c r="A37" s="2" t="inlineStr">
        <is>
          <t>A1</t>
        </is>
      </c>
      <c r="B37" s="2" t="inlineStr">
        <is>
          <t>A1</t>
        </is>
      </c>
      <c r="C37" s="2" t="inlineStr">
        <is>
          <t>w3-q2</t>
        </is>
      </c>
      <c r="D37" s="2" t="inlineStr">
        <is>
          <t>Which taxable income band does the 40% higher rate of Income Tax cover?</t>
        </is>
      </c>
      <c r="E37" s="2" t="inlineStr">
        <is>
          <t>£50,271 to £125,140</t>
        </is>
      </c>
      <c r="F37" s="2" t="inlineStr">
        <is>
          <t>The 40% higher rate of Income Tax covers taxable income from £50,271 to £125,140 [S1].</t>
        </is>
      </c>
      <c r="G37" s="2" t="inlineStr">
        <is>
          <t>correct</t>
        </is>
      </c>
      <c r="H37" s="2" t="inlineStr">
        <is>
          <t>Matches the reference answer.</t>
        </is>
      </c>
      <c r="I37" s="2" t="inlineStr">
        <is>
          <t>yes</t>
        </is>
      </c>
      <c r="J37" s="2" t="inlineStr">
        <is>
          <t>A source the answer names contains the expected phrase.</t>
        </is>
      </c>
      <c r="K37" s="2" t="n">
        <v>0.0004597</v>
      </c>
    </row>
    <row r="38">
      <c r="A38" s="2" t="inlineStr">
        <is>
          <t>A1</t>
        </is>
      </c>
      <c r="B38" s="2" t="inlineStr">
        <is>
          <t>A1</t>
        </is>
      </c>
      <c r="C38" s="2" t="inlineStr">
        <is>
          <t>w3-q6</t>
        </is>
      </c>
      <c r="D38" s="2" t="inlineStr">
        <is>
          <t>What is the first vehicle tax payment for a petrol car emitting 111 to 130g/km of CO2?</t>
        </is>
      </c>
      <c r="E38" s="2" t="inlineStr">
        <is>
          <t>£455</t>
        </is>
      </c>
      <c r="F38" s="2" t="inlineStr">
        <is>
          <t>The first vehicle tax payment for a petrol car emitting 111 to 130g/km of CO2 is £455 [S1]. This payment covers the vehicle for 12 months [S5].</t>
        </is>
      </c>
      <c r="G38" s="2" t="inlineStr">
        <is>
          <t>correct</t>
        </is>
      </c>
      <c r="H38" s="2" t="inlineStr">
        <is>
          <t>Matches the reference answer.</t>
        </is>
      </c>
      <c r="I38" s="2" t="inlineStr">
        <is>
          <t>yes</t>
        </is>
      </c>
      <c r="J38" s="2" t="inlineStr">
        <is>
          <t>A source the answer names contains the expected phrase.</t>
        </is>
      </c>
      <c r="K38" s="2" t="n">
        <v>0.0007875</v>
      </c>
    </row>
    <row r="39">
      <c r="A39" s="2" t="inlineStr">
        <is>
          <t>A1</t>
        </is>
      </c>
      <c r="B39" s="2" t="inlineStr">
        <is>
          <t>A1</t>
        </is>
      </c>
      <c r="C39" s="2" t="inlineStr">
        <is>
          <t>w4-q1</t>
        </is>
      </c>
      <c r="D39" s="2" t="inlineStr">
        <is>
          <t>What does HTTP status 418 I'm a teapot mean?</t>
        </is>
      </c>
      <c r="E39" s="2" t="inlineStr">
        <is>
          <t>The server refuses the attempt to brew coffee with a teapot.</t>
        </is>
      </c>
      <c r="F39" s="2" t="inlineStr">
        <is>
          <t>The HTTP status 418 I'm a teapot means that the server refuses to brew coffee with a teapot [S1].</t>
        </is>
      </c>
      <c r="G39" s="2" t="inlineStr">
        <is>
          <t>correct</t>
        </is>
      </c>
      <c r="H39" s="2" t="inlineStr">
        <is>
          <t>Matches the reference answer.</t>
        </is>
      </c>
      <c r="I39" s="2" t="inlineStr">
        <is>
          <t>yes</t>
        </is>
      </c>
      <c r="J39" s="2" t="inlineStr">
        <is>
          <t>A source the answer names contains the expected phrase.</t>
        </is>
      </c>
      <c r="K39" s="2" t="n">
        <v>0.0005777999999999999</v>
      </c>
    </row>
    <row r="40">
      <c r="A40" s="2" t="inlineStr">
        <is>
          <t>A1</t>
        </is>
      </c>
      <c r="B40" s="2" t="inlineStr">
        <is>
          <t>A1</t>
        </is>
      </c>
      <c r="C40" s="2" t="inlineStr">
        <is>
          <t>w4-q4</t>
        </is>
      </c>
      <c r="D40" s="2" t="inlineStr">
        <is>
          <t>What is a closure in JavaScript?</t>
        </is>
      </c>
      <c r="E40" s="2" t="inlineStr">
        <is>
          <t>The combination of a function bundled together with references to its surrounding state (the lexical environment).</t>
        </is>
      </c>
      <c r="F40" s="2" t="inlineStr">
        <is>
          <t>A closure in JavaScript is the combination of a function and its surrounding state (the lexical environment) [S1]. It allows a function to access its outer scope [S1]. Closures are created every time a function is created [S1]. This means that a function maintains access to variables that were in scope when the closure was created, even after the outer function has finished executing [S3, S5].</t>
        </is>
      </c>
      <c r="G40" s="2" t="inlineStr">
        <is>
          <t>correct</t>
        </is>
      </c>
      <c r="H40" s="2" t="inlineStr">
        <is>
          <t>Matches the reference answer.</t>
        </is>
      </c>
      <c r="I40" s="2" t="inlineStr">
        <is>
          <t>yes</t>
        </is>
      </c>
      <c r="J40" s="2" t="inlineStr">
        <is>
          <t>A source the answer names contains the expected phrase.</t>
        </is>
      </c>
      <c r="K40" s="2" t="n">
        <v>0.0006591</v>
      </c>
    </row>
    <row r="41">
      <c r="A41" s="2" t="inlineStr">
        <is>
          <t>A1</t>
        </is>
      </c>
      <c r="B41" s="2" t="inlineStr">
        <is>
          <t>A1</t>
        </is>
      </c>
      <c r="C41" s="2" t="inlineStr">
        <is>
          <t>w4-q8</t>
        </is>
      </c>
      <c r="D41" s="2" t="inlineStr">
        <is>
          <t>Which HTTP status code means Payment Accepted?</t>
        </is>
      </c>
      <c r="E41" s="2" t="inlineStr">
        <is>
          <t>Not stated in the source (no such status code).</t>
        </is>
      </c>
      <c r="F41" s="2" t="inlineStr">
        <is>
          <t>INSUFFICIENT_EVIDENCE. The provided documents do not list an HTTP status code that means "Payment Accepted." They do mention "402 Payment Required," but this is a different meaning [S2].</t>
        </is>
      </c>
      <c r="G41" s="2" t="inlineStr">
        <is>
          <t>correct-abstain</t>
        </is>
      </c>
      <c r="H41" s="2" t="inlineStr">
        <is>
          <t>Declined: no such status code.</t>
        </is>
      </c>
      <c r="I41" s="2" t="inlineStr">
        <is>
          <t>n/a</t>
        </is>
      </c>
      <c r="J41" s="2" t="inlineStr">
        <is>
          <t>No answer to support.</t>
        </is>
      </c>
      <c r="K41" s="2" t="n">
        <v>0.0005723</v>
      </c>
    </row>
    <row r="42">
      <c r="A42" s="2" t="inlineStr">
        <is>
          <t>A1</t>
        </is>
      </c>
      <c r="B42" s="2" t="inlineStr">
        <is>
          <t>A1</t>
        </is>
      </c>
      <c r="C42" s="2" t="inlineStr">
        <is>
          <t>f1-q1</t>
        </is>
      </c>
      <c r="D42" s="2" t="inlineStr">
        <is>
          <t>What are the layer, hidden size and attention head settings of BERT-base?</t>
        </is>
      </c>
      <c r="E42" s="2" t="inlineStr">
        <is>
          <t>12 layers, hidden size 768, 12 attention heads (110M parameters).</t>
        </is>
      </c>
      <c r="F42" s="2" t="inlineStr">
        <is>
          <t>BERT-base has 12 layers (L=12), a hidden size of 768 (H=768), and 12 attention heads (A=12) [S2].</t>
        </is>
      </c>
      <c r="G42" s="2" t="inlineStr">
        <is>
          <t>correct</t>
        </is>
      </c>
      <c r="H42" s="2" t="inlineStr">
        <is>
          <t>Matches the reference answer.</t>
        </is>
      </c>
      <c r="I42" s="2" t="inlineStr">
        <is>
          <t>yes</t>
        </is>
      </c>
      <c r="J42" s="2" t="inlineStr">
        <is>
          <t>A source the answer names contains the expected phrase.</t>
        </is>
      </c>
      <c r="K42" s="2" t="n">
        <v>0.0007998</v>
      </c>
    </row>
    <row r="43">
      <c r="A43" s="2" t="inlineStr">
        <is>
          <t>A1</t>
        </is>
      </c>
      <c r="B43" s="2" t="inlineStr">
        <is>
          <t>A1</t>
        </is>
      </c>
      <c r="C43" s="2" t="inlineStr">
        <is>
          <t>f1-q4</t>
        </is>
      </c>
      <c r="D43" s="2" t="inlineStr">
        <is>
          <t>Which corpora were used to pre-train BERT?</t>
        </is>
      </c>
      <c r="E43" s="2" t="inlineStr">
        <is>
          <t>BooksCorpus (800M words) and English Wikipedia (2,500M words).</t>
        </is>
      </c>
      <c r="F43" s="2" t="inlineStr">
        <is>
          <t>The BooksCorpus (800M words) and English Wikipedia (2,500M words) were used to pre-train BERT [S1].</t>
        </is>
      </c>
      <c r="G43" s="2" t="inlineStr">
        <is>
          <t>correct</t>
        </is>
      </c>
      <c r="H43" s="2" t="inlineStr">
        <is>
          <t>Matches the reference answer.</t>
        </is>
      </c>
      <c r="I43" s="2" t="inlineStr">
        <is>
          <t>yes</t>
        </is>
      </c>
      <c r="J43" s="2" t="inlineStr">
        <is>
          <t>A source the answer names contains the expected phrase.</t>
        </is>
      </c>
      <c r="K43" s="2" t="n">
        <v>0.0003391</v>
      </c>
    </row>
    <row r="44">
      <c r="A44" s="2" t="inlineStr">
        <is>
          <t>A1</t>
        </is>
      </c>
      <c r="B44" s="2" t="inlineStr">
        <is>
          <t>A1</t>
        </is>
      </c>
      <c r="C44" s="2" t="inlineStr">
        <is>
          <t>f2-q1</t>
        </is>
      </c>
      <c r="D44" s="2" t="inlineStr">
        <is>
          <t>What was real median household income in the United States in 2022?</t>
        </is>
      </c>
      <c r="E44" s="2" t="inlineStr">
        <is>
          <t>$74,580</t>
        </is>
      </c>
      <c r="F44" s="2" t="inlineStr">
        <is>
          <t>Real median household income in the United States was $74,580 in 2022 [S1].</t>
        </is>
      </c>
      <c r="G44" s="2" t="inlineStr">
        <is>
          <t>correct</t>
        </is>
      </c>
      <c r="H44" s="2" t="inlineStr">
        <is>
          <t>Matches the reference answer.</t>
        </is>
      </c>
      <c r="I44" s="2" t="inlineStr">
        <is>
          <t>yes</t>
        </is>
      </c>
      <c r="J44" s="2" t="inlineStr">
        <is>
          <t>A source the answer names contains the expected phrase.</t>
        </is>
      </c>
      <c r="K44" s="2" t="n">
        <v>0.0006089</v>
      </c>
    </row>
    <row r="45">
      <c r="A45" s="2" t="inlineStr">
        <is>
          <t>A1</t>
        </is>
      </c>
      <c r="B45" s="2" t="inlineStr">
        <is>
          <t>A1</t>
        </is>
      </c>
      <c r="C45" s="2" t="inlineStr">
        <is>
          <t>f2-q4</t>
        </is>
      </c>
      <c r="D45" s="2" t="inlineStr">
        <is>
          <t>What was the median income of married-couple households in 2022 according to Table A-1?</t>
        </is>
      </c>
      <c r="E45" s="2" t="inlineStr">
        <is>
          <t>$110,800</t>
        </is>
      </c>
      <c r="F45" s="2" t="inlineStr">
        <is>
          <t>The median income of married-couple households in 2022 was $110,800 [S1, S2].</t>
        </is>
      </c>
      <c r="G45" s="2" t="inlineStr">
        <is>
          <t>correct</t>
        </is>
      </c>
      <c r="H45" s="2" t="inlineStr">
        <is>
          <t>States $110,800 from Table A-1 (was wrongly declined before the fixes).</t>
        </is>
      </c>
      <c r="I45" s="2" t="inlineStr">
        <is>
          <t>yes</t>
        </is>
      </c>
      <c r="J45" s="2" t="inlineStr">
        <is>
          <t>A source the answer names contains the expected phrase.</t>
        </is>
      </c>
      <c r="K45" s="2" t="n">
        <v>0.0008316</v>
      </c>
    </row>
    <row r="46">
      <c r="A46" s="2" t="inlineStr">
        <is>
          <t>A1</t>
        </is>
      </c>
      <c r="B46" s="2" t="inlineStr">
        <is>
          <t>A1</t>
        </is>
      </c>
      <c r="C46" s="2" t="inlineStr">
        <is>
          <t>f2-q6</t>
        </is>
      </c>
      <c r="D46" s="2" t="inlineStr">
        <is>
          <t>What was the median income of nonfamily households in 2022 according to Table A-1?</t>
        </is>
      </c>
      <c r="E46" s="2" t="inlineStr">
        <is>
          <t>$45,440</t>
        </is>
      </c>
      <c r="F46" s="2" t="inlineStr">
        <is>
          <t>The median income of nonfamily households in 2022 was $45,440 [S1, S4].</t>
        </is>
      </c>
      <c r="G46" s="2" t="inlineStr">
        <is>
          <t>correct</t>
        </is>
      </c>
      <c r="H46" s="2" t="inlineStr">
        <is>
          <t>Matches the reference answer.</t>
        </is>
      </c>
      <c r="I46" s="2" t="inlineStr">
        <is>
          <t>yes</t>
        </is>
      </c>
      <c r="J46" s="2" t="inlineStr">
        <is>
          <t>A source the answer names contains the expected phrase.</t>
        </is>
      </c>
      <c r="K46" s="2" t="n">
        <v>0.0007885</v>
      </c>
    </row>
    <row r="47">
      <c r="A47" s="2" t="inlineStr">
        <is>
          <t>A1</t>
        </is>
      </c>
      <c r="B47" s="2" t="inlineStr">
        <is>
          <t>A1</t>
        </is>
      </c>
      <c r="C47" s="2" t="inlineStr">
        <is>
          <t>f3-q1</t>
        </is>
      </c>
      <c r="D47" s="2" t="inlineStr">
        <is>
          <t>How many television pictures does Part III of the Surveyor VI report present?</t>
        </is>
      </c>
      <c r="E47" s="2" t="inlineStr">
        <is>
          <t>139 pictures.</t>
        </is>
      </c>
      <c r="F47" s="2" t="inlineStr">
        <is>
          <t>Part III of the Surveyor VI report presents 139 television pictures [S1, S2].</t>
        </is>
      </c>
      <c r="G47" s="2" t="inlineStr">
        <is>
          <t>correct</t>
        </is>
      </c>
      <c r="H47" s="2" t="inlineStr">
        <is>
          <t>Matches the reference answer.</t>
        </is>
      </c>
      <c r="I47" s="2" t="inlineStr">
        <is>
          <t>yes</t>
        </is>
      </c>
      <c r="J47" s="2" t="inlineStr">
        <is>
          <t>A source the answer names contains the expected phrase.</t>
        </is>
      </c>
      <c r="K47" s="2" t="n">
        <v>0.0004443</v>
      </c>
    </row>
    <row r="48">
      <c r="A48" s="2" t="inlineStr">
        <is>
          <t>A1</t>
        </is>
      </c>
      <c r="B48" s="2" t="inlineStr">
        <is>
          <t>A1</t>
        </is>
      </c>
      <c r="C48" s="2" t="inlineStr">
        <is>
          <t>f3-q4</t>
        </is>
      </c>
      <c r="D48" s="2" t="inlineStr">
        <is>
          <t>What is the mass of the Surveyor survey TV camera?</t>
        </is>
      </c>
      <c r="E48" s="2" t="inlineStr">
        <is>
          <t>7.3 kg.</t>
        </is>
      </c>
      <c r="F48" s="2" t="inlineStr">
        <is>
          <t>The Surveyor survey TV camera has a mass of 7.3 kg [S3].</t>
        </is>
      </c>
      <c r="G48" s="2" t="inlineStr">
        <is>
          <t>correct</t>
        </is>
      </c>
      <c r="H48" s="2" t="inlineStr">
        <is>
          <t>Matches the reference answer.</t>
        </is>
      </c>
      <c r="I48" s="2" t="inlineStr">
        <is>
          <t>yes</t>
        </is>
      </c>
      <c r="J48" s="2" t="inlineStr">
        <is>
          <t>A source the answer names contains the expected phrase.</t>
        </is>
      </c>
      <c r="K48" s="2" t="n">
        <v>0.000513</v>
      </c>
    </row>
    <row r="49">
      <c r="A49" s="2" t="inlineStr">
        <is>
          <t>A1</t>
        </is>
      </c>
      <c r="B49" s="2" t="inlineStr">
        <is>
          <t>A1</t>
        </is>
      </c>
      <c r="C49" s="2" t="inlineStr">
        <is>
          <t>f3-q8</t>
        </is>
      </c>
      <c r="D49" s="2" t="inlineStr">
        <is>
          <t>What was the landing site latitude of Surveyor VII?</t>
        </is>
      </c>
      <c r="E49" s="2" t="inlineStr">
        <is>
          <t>Not stated in the source.</t>
        </is>
      </c>
      <c r="F49" s="2" t="inlineStr">
        <is>
          <t>INSUFFICIENT_EVIDENCE. The provided documents discuss the Surveyor VI mission but do not contain information about the landing site latitude of Surveyor VII [S1, S2, S3, S4, S5].</t>
        </is>
      </c>
      <c r="G49" s="2" t="inlineStr">
        <is>
          <t>correct-abstain</t>
        </is>
      </c>
      <c r="H49" s="2" t="inlineStr">
        <is>
          <t>Declined: the report covers Surveyor VI only.</t>
        </is>
      </c>
      <c r="I49" s="2" t="inlineStr">
        <is>
          <t>n/a</t>
        </is>
      </c>
      <c r="J49" s="2" t="inlineStr">
        <is>
          <t>No answer to support.</t>
        </is>
      </c>
      <c r="K49" s="2" t="n">
        <v>0.0004866</v>
      </c>
    </row>
    <row r="50">
      <c r="A50" s="2" t="inlineStr">
        <is>
          <t>A2</t>
        </is>
      </c>
      <c r="B50" s="2" t="inlineStr">
        <is>
          <t>A2</t>
        </is>
      </c>
      <c r="C50" s="2" t="inlineStr">
        <is>
          <t>f1-q1</t>
        </is>
      </c>
      <c r="D50" s="2" t="inlineStr">
        <is>
          <t>What are the layer, hidden size and attention head settings of BERT-base?</t>
        </is>
      </c>
      <c r="E50" s="2" t="inlineStr">
        <is>
          <t>12 layers, hidden size 768, 12 attention heads (110M parameters).</t>
        </is>
      </c>
      <c r="F50" s="2" t="inlineStr">
        <is>
          <t>BERT-base has 12 layers (L), a hidden size (H) of 768, and 12 attention heads (A) [S2].</t>
        </is>
      </c>
      <c r="G50" s="2" t="inlineStr">
        <is>
          <t>correct</t>
        </is>
      </c>
      <c r="H50" s="2" t="inlineStr">
        <is>
          <t>States L=12, H=768, A=12.</t>
        </is>
      </c>
      <c r="I50" s="2" t="inlineStr">
        <is>
          <t>yes</t>
        </is>
      </c>
      <c r="J50" s="2" t="inlineStr">
        <is>
          <t>A source the answer names contains the expected phrase.</t>
        </is>
      </c>
      <c r="K50" s="2" t="n">
        <v>0.0007107</v>
      </c>
    </row>
    <row r="51">
      <c r="A51" s="2" t="inlineStr">
        <is>
          <t>A2</t>
        </is>
      </c>
      <c r="B51" s="2" t="inlineStr">
        <is>
          <t>A2</t>
        </is>
      </c>
      <c r="C51" s="2" t="inlineStr">
        <is>
          <t>f1-q4</t>
        </is>
      </c>
      <c r="D51" s="2" t="inlineStr">
        <is>
          <t>Which corpora were used to pre-train BERT?</t>
        </is>
      </c>
      <c r="E51" s="2" t="inlineStr">
        <is>
          <t>BooksCorpus (800M words) and English Wikipedia (2,500M words).</t>
        </is>
      </c>
      <c r="F51" s="2" t="inlineStr">
        <is>
          <t>The BooksCorpus (800M words) and English Wikipedia (2,500M words) were used to pre-train BERT [S1].</t>
        </is>
      </c>
      <c r="G51" s="2" t="inlineStr">
        <is>
          <t>correct</t>
        </is>
      </c>
      <c r="H51" s="2" t="inlineStr">
        <is>
          <t>BooksCorpus 800M and English Wikipedia 2,500M words.</t>
        </is>
      </c>
      <c r="I51" s="2" t="inlineStr">
        <is>
          <t>yes</t>
        </is>
      </c>
      <c r="J51" s="2" t="inlineStr">
        <is>
          <t>A source the answer names contains the expected phrase.</t>
        </is>
      </c>
      <c r="K51" s="2" t="n">
        <v>0.0003391</v>
      </c>
    </row>
    <row r="52">
      <c r="A52" s="2" t="inlineStr">
        <is>
          <t>A2</t>
        </is>
      </c>
      <c r="B52" s="2" t="inlineStr">
        <is>
          <t>A2</t>
        </is>
      </c>
      <c r="C52" s="2" t="inlineStr">
        <is>
          <t>f2-q1</t>
        </is>
      </c>
      <c r="D52" s="2" t="inlineStr">
        <is>
          <t>What was real median household income in the United States in 2022?</t>
        </is>
      </c>
      <c r="E52" s="2" t="inlineStr">
        <is>
          <t>$74,580</t>
        </is>
      </c>
      <c r="F52" s="2" t="inlineStr">
        <is>
          <t>Real median household income in the United States was $74,580 in 2022 [S1].</t>
        </is>
      </c>
      <c r="G52" s="2" t="inlineStr">
        <is>
          <t>correct</t>
        </is>
      </c>
      <c r="H52" s="2" t="inlineStr">
        <is>
          <t>Matches the reference answer.</t>
        </is>
      </c>
      <c r="I52" s="2" t="inlineStr">
        <is>
          <t>yes</t>
        </is>
      </c>
      <c r="J52" s="2" t="inlineStr">
        <is>
          <t>A source the answer names contains the expected phrase.</t>
        </is>
      </c>
      <c r="K52" s="2" t="n">
        <v>0.0006071</v>
      </c>
    </row>
    <row r="53">
      <c r="A53" s="2" t="inlineStr">
        <is>
          <t>A2</t>
        </is>
      </c>
      <c r="B53" s="2" t="inlineStr">
        <is>
          <t>A2</t>
        </is>
      </c>
      <c r="C53" s="2" t="inlineStr">
        <is>
          <t>f2-q4</t>
        </is>
      </c>
      <c r="D53" s="2" t="inlineStr">
        <is>
          <t>What was the median income of married-couple households in 2022 according to Table A-1?</t>
        </is>
      </c>
      <c r="E53" s="2" t="inlineStr">
        <is>
          <t>$110,800</t>
        </is>
      </c>
      <c r="F53" s="2" t="inlineStr">
        <is>
          <t>The median income of married-couple households in 2022 was $110,800 [S2].</t>
        </is>
      </c>
      <c r="G53" s="2" t="inlineStr">
        <is>
          <t>correct</t>
        </is>
      </c>
      <c r="H53" s="2" t="inlineStr">
        <is>
          <t>Matches the reference answer.</t>
        </is>
      </c>
      <c r="I53" s="2" t="inlineStr">
        <is>
          <t>yes</t>
        </is>
      </c>
      <c r="J53" s="2" t="inlineStr">
        <is>
          <t>A source the answer names contains the expected phrase.</t>
        </is>
      </c>
      <c r="K53" s="2" t="n">
        <v>0.0008223</v>
      </c>
    </row>
    <row r="54">
      <c r="A54" s="2" t="inlineStr">
        <is>
          <t>A2</t>
        </is>
      </c>
      <c r="B54" s="2" t="inlineStr">
        <is>
          <t>A2</t>
        </is>
      </c>
      <c r="C54" s="2" t="inlineStr">
        <is>
          <t>f2-q6</t>
        </is>
      </c>
      <c r="D54" s="2" t="inlineStr">
        <is>
          <t>What was the median income of nonfamily households in 2022 according to Table A-1?</t>
        </is>
      </c>
      <c r="E54" s="2" t="inlineStr">
        <is>
          <t>$45,440</t>
        </is>
      </c>
      <c r="F54" s="2" t="inlineStr">
        <is>
          <t>The median income of nonfamily households in 2022 was $45,440 [S1, S4].</t>
        </is>
      </c>
      <c r="G54" s="2" t="inlineStr">
        <is>
          <t>correct</t>
        </is>
      </c>
      <c r="H54" s="2" t="inlineStr">
        <is>
          <t>Matches the reference answer.</t>
        </is>
      </c>
      <c r="I54" s="2" t="inlineStr">
        <is>
          <t>yes</t>
        </is>
      </c>
      <c r="J54" s="2" t="inlineStr">
        <is>
          <t>A source the answer names contains the expected phrase.</t>
        </is>
      </c>
      <c r="K54" s="2" t="n">
        <v>0.0007861</v>
      </c>
    </row>
    <row r="55">
      <c r="A55" s="2" t="inlineStr">
        <is>
          <t>A2</t>
        </is>
      </c>
      <c r="B55" s="2" t="inlineStr">
        <is>
          <t>A2</t>
        </is>
      </c>
      <c r="C55" s="2" t="inlineStr">
        <is>
          <t>f3-q1</t>
        </is>
      </c>
      <c r="D55" s="2" t="inlineStr">
        <is>
          <t>How many television pictures does Part III of the Surveyor VI report present?</t>
        </is>
      </c>
      <c r="E55" s="2" t="inlineStr">
        <is>
          <t>139 pictures.</t>
        </is>
      </c>
      <c r="F55" s="2" t="inlineStr">
        <is>
          <t>Part III of the Surveyor VI report presents 139 television pictures [S1, S2]. It also includes 46 mosaics composed of individual frames [S1].</t>
        </is>
      </c>
      <c r="G55" s="2" t="inlineStr">
        <is>
          <t>correct</t>
        </is>
      </c>
      <c r="H55" s="2" t="inlineStr">
        <is>
          <t>139 pictures, as the reference.</t>
        </is>
      </c>
      <c r="I55" s="2" t="inlineStr">
        <is>
          <t>yes</t>
        </is>
      </c>
      <c r="J55" s="2" t="inlineStr">
        <is>
          <t>A source the answer names contains the expected phrase.</t>
        </is>
      </c>
      <c r="K55" s="2" t="n">
        <v>0.0004818</v>
      </c>
    </row>
    <row r="56">
      <c r="A56" s="2" t="inlineStr">
        <is>
          <t>A2</t>
        </is>
      </c>
      <c r="B56" s="2" t="inlineStr">
        <is>
          <t>A2</t>
        </is>
      </c>
      <c r="C56" s="2" t="inlineStr">
        <is>
          <t>f3-q4</t>
        </is>
      </c>
      <c r="D56" s="2" t="inlineStr">
        <is>
          <t>What is the mass of the Surveyor survey TV camera?</t>
        </is>
      </c>
      <c r="E56" s="2" t="inlineStr">
        <is>
          <t>7.3 kg.</t>
        </is>
      </c>
      <c r="F56" s="2" t="inlineStr">
        <is>
          <t>The Surveyor survey TV camera has a mass of 7.3 kg [S3].</t>
        </is>
      </c>
      <c r="G56" s="2" t="inlineStr">
        <is>
          <t>correct</t>
        </is>
      </c>
      <c r="H56" s="2" t="inlineStr">
        <is>
          <t>Matches the reference answer.</t>
        </is>
      </c>
      <c r="I56" s="2" t="inlineStr">
        <is>
          <t>yes</t>
        </is>
      </c>
      <c r="J56" s="2" t="inlineStr">
        <is>
          <t>A source the answer names contains the expected phrase.</t>
        </is>
      </c>
      <c r="K56" s="2" t="n">
        <v>0.000513</v>
      </c>
    </row>
    <row r="57">
      <c r="A57" s="2" t="inlineStr">
        <is>
          <t>A2</t>
        </is>
      </c>
      <c r="B57" s="2" t="inlineStr">
        <is>
          <t>A2</t>
        </is>
      </c>
      <c r="C57" s="2" t="inlineStr">
        <is>
          <t>f3-q8</t>
        </is>
      </c>
      <c r="D57" s="2" t="inlineStr">
        <is>
          <t>What was the landing site latitude of Surveyor VII?</t>
        </is>
      </c>
      <c r="E57" s="2" t="inlineStr">
        <is>
          <t>Not stated in the source.</t>
        </is>
      </c>
      <c r="F57" s="2" t="inlineStr">
        <is>
          <t>INSUFFICIENT_EVIDENCE. The provided documents discuss the Surveyor VI mission but do not contain any information about the landing site latitude of Surveyor VII [S1, S2, S3, S4, S5].</t>
        </is>
      </c>
      <c r="G57" s="2" t="inlineStr">
        <is>
          <t>correct-abstain</t>
        </is>
      </c>
      <c r="H57" s="2" t="inlineStr">
        <is>
          <t>Declined; not in the source.</t>
        </is>
      </c>
      <c r="I57" s="2" t="inlineStr">
        <is>
          <t>n/a</t>
        </is>
      </c>
      <c r="J57" s="2" t="inlineStr">
        <is>
          <t>No answer to support.</t>
        </is>
      </c>
      <c r="K57" s="2" t="n">
        <v>0.0004891</v>
      </c>
    </row>
    <row r="58">
      <c r="A58" s="2" t="inlineStr">
        <is>
          <t>A2</t>
        </is>
      </c>
      <c r="B58" s="2" t="inlineStr">
        <is>
          <t>A2</t>
        </is>
      </c>
      <c r="C58" s="2" t="inlineStr">
        <is>
          <t>f2-q9</t>
        </is>
      </c>
      <c r="D58" s="2" t="inlineStr">
        <is>
          <t>According to Table A-2, what was the median household income for all races in 2015, in 2022 dollars?</t>
        </is>
      </c>
      <c r="E58" s="2" t="inlineStr">
        <is>
          <t>$68,410</t>
        </is>
      </c>
      <c r="F58" s="2" t="inlineStr">
        <is>
          <t>INSUFFICIENT_EVIDENCE. The provided text includes Table A-2, but it only contains data for the years 2019, 2020, 2021, and 2022. Information for 2015 is not available in the given table [S2].</t>
        </is>
      </c>
      <c r="G58" s="2" t="inlineStr">
        <is>
          <t>wrong-abstain</t>
        </is>
      </c>
      <c r="H58" s="2" t="inlineStr">
        <is>
          <t>Declined; the Table A-2 2015 row is in the index (correct, read row by row) but not in the top 5, which held the 2019-2022 rows.</t>
        </is>
      </c>
      <c r="I58" s="2" t="inlineStr">
        <is>
          <t>n/a</t>
        </is>
      </c>
      <c r="J58" s="2" t="inlineStr">
        <is>
          <t>No answer to support.</t>
        </is>
      </c>
      <c r="K58" s="2" t="n">
        <v>0.0010577</v>
      </c>
    </row>
    <row r="59">
      <c r="A59" s="2" t="inlineStr">
        <is>
          <t>A2</t>
        </is>
      </c>
      <c r="B59" s="2" t="inlineStr">
        <is>
          <t>A2</t>
        </is>
      </c>
      <c r="C59" s="2" t="inlineStr">
        <is>
          <t>f2-q10</t>
        </is>
      </c>
      <c r="D59" s="2" t="inlineStr">
        <is>
          <t>According to Table A-2, what was the mean household income for all races in 1990, in 2022 dollars?</t>
        </is>
      </c>
      <c r="E59" s="2" t="inlineStr">
        <is>
          <t>$76,820</t>
        </is>
      </c>
      <c r="F59" s="2" t="inlineStr">
        <is>
          <t>INSUFFICIENT_EVIDENCE. The provided tables do not contain data for the year 1990 for "ALL RACES" [S2, S3, S4].</t>
        </is>
      </c>
      <c r="G59" s="2" t="inlineStr">
        <is>
          <t>wrong-abstain</t>
        </is>
      </c>
      <c r="H59" s="2" t="inlineStr">
        <is>
          <t>Declined; the 1990 row is in the index but not in the top 5.</t>
        </is>
      </c>
      <c r="I59" s="2" t="inlineStr">
        <is>
          <t>n/a</t>
        </is>
      </c>
      <c r="J59" s="2" t="inlineStr">
        <is>
          <t>No answer to support.</t>
        </is>
      </c>
      <c r="K59" s="2" t="n">
        <v>0.0014733</v>
      </c>
    </row>
    <row r="60">
      <c r="A60" s="2" t="inlineStr">
        <is>
          <t>A2</t>
        </is>
      </c>
      <c r="B60" s="2" t="inlineStr">
        <is>
          <t>A2</t>
        </is>
      </c>
      <c r="C60" s="2" t="inlineStr">
        <is>
          <t>f4-q1</t>
        </is>
      </c>
      <c r="D60" s="2" t="inlineStr">
        <is>
          <t>Combien de décès dus aux maladies de l'appareil circulatoire pour 100 000 habitants l'UE-28 comptait-elle en 2015 ?</t>
        </is>
      </c>
      <c r="E60" s="2" t="inlineStr">
        <is>
          <t>381 décès pour 100 000 habitants</t>
        </is>
      </c>
      <c r="F60" s="2" t="inlineStr">
        <is>
          <t>INSUFFICIENT_EVIDENCE. Les documents fournis ne contiennent pas le nombre de décès dus aux maladies de l'appareil circulatoire pour 100 000 habitants dans l'UE-28 en 2015. Ils mentionnent seulement le titre d'une section et des chiffres qui ne sont pas clairement associés à cette statistique [S1, S2, S3, S4].</t>
        </is>
      </c>
      <c r="G60" s="2" t="inlineStr">
        <is>
          <t>wrong-abstain</t>
        </is>
      </c>
      <c r="H60" s="2" t="inlineStr">
        <is>
          <t>Declined; the chart callout '381 deces' is not in the index (chart read as an empty table).</t>
        </is>
      </c>
      <c r="I60" s="2" t="inlineStr">
        <is>
          <t>n/a</t>
        </is>
      </c>
      <c r="J60" s="2" t="inlineStr">
        <is>
          <t>No answer to support.</t>
        </is>
      </c>
      <c r="K60" s="2" t="n">
        <v>0.001013</v>
      </c>
    </row>
    <row r="61">
      <c r="A61" s="2" t="inlineStr">
        <is>
          <t>A2</t>
        </is>
      </c>
      <c r="B61" s="2" t="inlineStr">
        <is>
          <t>A2</t>
        </is>
      </c>
      <c r="C61" s="2" t="inlineStr">
        <is>
          <t>f4-q2</t>
        </is>
      </c>
      <c r="D61" s="2" t="inlineStr">
        <is>
          <t>En 2015, combien de fois plus de risques de mourir d'une maladie de l'appareil circulatoire avait une personne vivant en Bulgarie qu'une personne vivant en France ?</t>
        </is>
      </c>
      <c r="E61" s="2" t="inlineStr">
        <is>
          <t>5,5 fois plus</t>
        </is>
      </c>
      <c r="F61" s="2" t="inlineStr">
        <is>
          <t>En 2015, une personne vivant en Bulgarie avait 5,5 fois plus de risques de mourir d'une maladie de l'appareil circulatoire qu'une personne vivant en France [S1].</t>
        </is>
      </c>
      <c r="G61" s="2" t="inlineStr">
        <is>
          <t>correct</t>
        </is>
      </c>
      <c r="H61" s="2" t="inlineStr">
        <is>
          <t>5,5 fois, as the reference.</t>
        </is>
      </c>
      <c r="I61" s="2" t="inlineStr">
        <is>
          <t>yes</t>
        </is>
      </c>
      <c r="J61" s="2" t="inlineStr">
        <is>
          <t>A source the answer names contains the expected phrase.</t>
        </is>
      </c>
      <c r="K61" s="2" t="n">
        <v>0.0007765</v>
      </c>
    </row>
    <row r="62">
      <c r="A62" s="2" t="inlineStr">
        <is>
          <t>A2</t>
        </is>
      </c>
      <c r="B62" s="2" t="inlineStr">
        <is>
          <t>A2</t>
        </is>
      </c>
      <c r="C62" s="2" t="inlineStr">
        <is>
          <t>f4-q3</t>
        </is>
      </c>
      <c r="D62" s="2" t="inlineStr">
        <is>
          <t>Quelle part des marchandises transportées dans l'UE-28 l'est par la route ?</t>
        </is>
      </c>
      <c r="E62" s="2" t="inlineStr">
        <is>
          <t>77 %</t>
        </is>
      </c>
      <c r="F62" s="2" t="inlineStr">
        <is>
          <t>77 % des marchandises transportées dans l'UE-28 le sont par la route [S1, S2, S3, S4].</t>
        </is>
      </c>
      <c r="G62" s="2" t="inlineStr">
        <is>
          <t>correct</t>
        </is>
      </c>
      <c r="H62" s="2" t="inlineStr">
        <is>
          <t>77 %, as the reference.</t>
        </is>
      </c>
      <c r="I62" s="2" t="inlineStr">
        <is>
          <t>yes</t>
        </is>
      </c>
      <c r="J62" s="2" t="inlineStr">
        <is>
          <t>A source the answer names contains the expected phrase.</t>
        </is>
      </c>
      <c r="K62" s="2" t="n">
        <v>0.0010076</v>
      </c>
    </row>
    <row r="63">
      <c r="A63" s="2" t="inlineStr">
        <is>
          <t>A2</t>
        </is>
      </c>
      <c r="B63" s="2" t="inlineStr">
        <is>
          <t>A2</t>
        </is>
      </c>
      <c r="C63" s="2" t="inlineStr">
        <is>
          <t>f4-q4</t>
        </is>
      </c>
      <c r="D63" s="2" t="inlineStr">
        <is>
          <t>De combien les émissions de gaz à effet de serre de l'UE-28 ont-elles baissé par rapport à 1990 ?</t>
        </is>
      </c>
      <c r="E63" s="2" t="inlineStr">
        <is>
          <t>De 22 % par rapport à 1990</t>
        </is>
      </c>
      <c r="F63" s="2" t="inlineStr">
        <is>
          <t>En 2016, les émissions de gaz à effet de serre de l'UE-28 avaient baissé de 22,4 % par rapport à leurs niveaux de 1990 [S1].</t>
        </is>
      </c>
      <c r="G63" s="2" t="inlineStr">
        <is>
          <t>correct</t>
        </is>
      </c>
      <c r="H63" s="2" t="inlineStr">
        <is>
          <t>22,4 % against 1990 (the prose figure; the chart callout rounds it to 22 %).</t>
        </is>
      </c>
      <c r="I63" s="2" t="inlineStr">
        <is>
          <t>yes</t>
        </is>
      </c>
      <c r="J63" s="2" t="inlineStr">
        <is>
          <t>The cited chunk states 22,4 % against 1990; the reference phrase was the rounded callout.</t>
        </is>
      </c>
      <c r="K63" s="2" t="n">
        <v>0.0007475</v>
      </c>
    </row>
    <row r="64">
      <c r="A64" s="2" t="inlineStr">
        <is>
          <t>A2</t>
        </is>
      </c>
      <c r="B64" s="2" t="inlineStr">
        <is>
          <t>A2</t>
        </is>
      </c>
      <c r="C64" s="2" t="inlineStr">
        <is>
          <t>f5-q1</t>
        </is>
      </c>
      <c r="D64" s="2" t="inlineStr">
        <is>
          <t>Who prepared the compilation of the 1950 water-use estimates in USGS Circular 115?</t>
        </is>
      </c>
      <c r="E64" s="2" t="inlineStr">
        <is>
          <t>Kenneth A. MacKichan</t>
        </is>
      </c>
      <c r="F64" s="2" t="inlineStr">
        <is>
          <t>Kenneth A. MacKichan prepared the compilation of the 1950 water-use estimates in USGS Circular 115 [S1, S3].</t>
        </is>
      </c>
      <c r="G64" s="2" t="inlineStr">
        <is>
          <t>correct</t>
        </is>
      </c>
      <c r="H64" s="2" t="inlineStr">
        <is>
          <t>Matches the reference answer.</t>
        </is>
      </c>
      <c r="I64" s="2" t="inlineStr">
        <is>
          <t>yes</t>
        </is>
      </c>
      <c r="J64" s="2" t="inlineStr">
        <is>
          <t>A source the answer names contains the expected phrase.</t>
        </is>
      </c>
      <c r="K64" s="2" t="n">
        <v>0.0006547</v>
      </c>
    </row>
    <row r="65">
      <c r="A65" s="2" t="inlineStr">
        <is>
          <t>A2</t>
        </is>
      </c>
      <c r="B65" s="2" t="inlineStr">
        <is>
          <t>A2</t>
        </is>
      </c>
      <c r="C65" s="2" t="inlineStr">
        <is>
          <t>f5-q2</t>
        </is>
      </c>
      <c r="D65" s="2" t="inlineStr">
        <is>
          <t>According to Table 1 of USGS Circular 115, how much surface water did municipalities in Illinois use in 1950 (mgd)?</t>
        </is>
      </c>
      <c r="E65" s="2" t="inlineStr">
        <is>
          <t>1,070 mgd</t>
        </is>
      </c>
      <c r="F65" s="2" t="inlineStr">
        <is>
          <t>INSUFFICIENT_EVIDENCE. The provided text includes Table 1, which lists municipal water usage for several states, but Illinois is not among them [S3].</t>
        </is>
      </c>
      <c r="G65" s="2" t="inlineStr">
        <is>
          <t>wrong-abstain</t>
        </is>
      </c>
      <c r="H65" s="2" t="inlineStr">
        <is>
          <t>Declined; the OCR row 'Illinois ... 1,070' is in the index but not in the top 5.</t>
        </is>
      </c>
      <c r="I65" s="2" t="inlineStr">
        <is>
          <t>n/a</t>
        </is>
      </c>
      <c r="J65" s="2" t="inlineStr">
        <is>
          <t>No answer to support.</t>
        </is>
      </c>
      <c r="K65" s="2" t="n">
        <v>0.0006794</v>
      </c>
    </row>
    <row r="66">
      <c r="A66" s="2" t="inlineStr">
        <is>
          <t>A2</t>
        </is>
      </c>
      <c r="B66" s="2" t="inlineStr">
        <is>
          <t>A2</t>
        </is>
      </c>
      <c r="C66" s="2" t="inlineStr">
        <is>
          <t>f5-q3</t>
        </is>
      </c>
      <c r="D66" s="2" t="inlineStr">
        <is>
          <t>According to Table 1 of USGS Circular 115, how much ground water did municipalities in Kansas use in 1950 (mgd)?</t>
        </is>
      </c>
      <c r="E66" s="2" t="inlineStr">
        <is>
          <t>75 mgd</t>
        </is>
      </c>
      <c r="F66" s="2" t="inlineStr">
        <is>
          <t>INSUFFICIENT_EVIDENCE. The provided text includes Table 1, but Kansas is not listed in the table [S2].</t>
        </is>
      </c>
      <c r="G66" s="2" t="inlineStr">
        <is>
          <t>wrong-abstain</t>
        </is>
      </c>
      <c r="H66" s="2" t="inlineStr">
        <is>
          <t>Declined; the Kansas row is not in the top 5, and OCR reads its 75 as 78.</t>
        </is>
      </c>
      <c r="I66" s="2" t="inlineStr">
        <is>
          <t>n/a</t>
        </is>
      </c>
      <c r="J66" s="2" t="inlineStr">
        <is>
          <t>No answer to support.</t>
        </is>
      </c>
      <c r="K66" s="2" t="n">
        <v>0.0006727</v>
      </c>
    </row>
    <row r="67">
      <c r="A67" s="2" t="inlineStr">
        <is>
          <t>A2</t>
        </is>
      </c>
      <c r="B67" s="2" t="inlineStr">
        <is>
          <t>A2</t>
        </is>
      </c>
      <c r="C67" s="2" t="inlineStr">
        <is>
          <t>f6-q1</t>
        </is>
      </c>
      <c r="D67" s="2" t="inlineStr">
        <is>
          <t>What is the word limit for section A3.2, on tackling potholes, in the DfT highways maintenance transparency report template?</t>
        </is>
      </c>
      <c r="E67" s="2" t="inlineStr">
        <is>
          <t>250 words</t>
        </is>
      </c>
      <c r="F67" s="2" t="inlineStr">
        <is>
          <t>INSUFFICIENT_EVIDENCE. The provided text describes section A3.2 and its guidance, but it does not explicitly state a word limit for this specific section [S1, S3, S4].</t>
        </is>
      </c>
      <c r="G67" s="2" t="inlineStr">
        <is>
          <t>wrong-abstain</t>
        </is>
      </c>
      <c r="H67" s="2" t="inlineStr">
        <is>
          <t>Declined; the rank-1 chunk has 'Word limit - 250 words' but the A3.2 heading is in an earlier chunk, so the model could not tie the limit to A3.2.</t>
        </is>
      </c>
      <c r="I67" s="2" t="inlineStr">
        <is>
          <t>n/a</t>
        </is>
      </c>
      <c r="J67" s="2" t="inlineStr">
        <is>
          <t>No answer to support.</t>
        </is>
      </c>
      <c r="K67" s="2" t="n">
        <v>0.0006455</v>
      </c>
    </row>
    <row r="68">
      <c r="A68" s="2" t="inlineStr">
        <is>
          <t>A2</t>
        </is>
      </c>
      <c r="B68" s="2" t="inlineStr">
        <is>
          <t>A2</t>
        </is>
      </c>
      <c r="C68" s="2" t="inlineStr">
        <is>
          <t>f6-q2</t>
        </is>
      </c>
      <c r="D68" s="2" t="inlineStr">
        <is>
          <t>Into which asset categories does table A4.1 of the DfT template break down spending on highways maintenance?</t>
        </is>
      </c>
      <c r="E68" s="2" t="inlineStr">
        <is>
          <t>Carriageways, footways, structures, drainage, street lighting and other assets</t>
        </is>
      </c>
      <c r="F68" s="2" t="inlineStr">
        <is>
          <t>Table A4.1 of the DfT template breaks down spending on highways maintenance into the following asset categories: Carriageways, Footways, Structures (for example bridges or tunnels), Drainage, Street lighting, and Other assets [S1].</t>
        </is>
      </c>
      <c r="G68" s="2" t="inlineStr">
        <is>
          <t>correct</t>
        </is>
      </c>
      <c r="H68" s="2" t="inlineStr">
        <is>
          <t>All six categories.</t>
        </is>
      </c>
      <c r="I68" s="2" t="inlineStr">
        <is>
          <t>yes</t>
        </is>
      </c>
      <c r="J68" s="2" t="inlineStr">
        <is>
          <t>A source the answer names contains the expected phrase.</t>
        </is>
      </c>
      <c r="K68" s="2" t="n">
        <v>0.0006089999999999999</v>
      </c>
    </row>
    <row r="69">
      <c r="A69" s="2" t="inlineStr">
        <is>
          <t>A2</t>
        </is>
      </c>
      <c r="B69" s="2" t="inlineStr">
        <is>
          <t>A2</t>
        </is>
      </c>
      <c r="C69" s="2" t="inlineStr">
        <is>
          <t>f7-q1</t>
        </is>
      </c>
      <c r="D69" s="2" t="inlineStr">
        <is>
          <t>In the Prevent risk assessment example matrix, what score range counts as medium risk?</t>
        </is>
      </c>
      <c r="E69" s="2" t="inlineStr">
        <is>
          <t>7 to 11</t>
        </is>
      </c>
      <c r="F69" s="2" t="inlineStr">
        <is>
          <t>In the Prevent risk assessment example matrix, a score range of 7 to 11 counts as medium risk [S1].</t>
        </is>
      </c>
      <c r="G69" s="2" t="inlineStr">
        <is>
          <t>correct</t>
        </is>
      </c>
      <c r="H69" s="2" t="inlineStr">
        <is>
          <t>7 to 11, from the slide table.</t>
        </is>
      </c>
      <c r="I69" s="2" t="inlineStr">
        <is>
          <t>yes</t>
        </is>
      </c>
      <c r="J69" s="2" t="inlineStr">
        <is>
          <t>A source the answer names contains the expected phrase.</t>
        </is>
      </c>
      <c r="K69" s="2" t="n">
        <v>0.000335</v>
      </c>
    </row>
    <row r="70">
      <c r="A70" s="2" t="inlineStr">
        <is>
          <t>A2</t>
        </is>
      </c>
      <c r="B70" s="2" t="inlineStr">
        <is>
          <t>A2</t>
        </is>
      </c>
      <c r="C70" s="2" t="inlineStr">
        <is>
          <t>f7-q2</t>
        </is>
      </c>
      <c r="D70" s="2" t="inlineStr">
        <is>
          <t>In the Prevent risk assessment matrix, which severity of impact has the same rating as a 'Very likely' probability?</t>
        </is>
      </c>
      <c r="E70" s="2" t="inlineStr">
        <is>
          <t>Major (rating 4)</t>
        </is>
      </c>
      <c r="F70" s="2" t="inlineStr">
        <is>
          <t>The severity of impact that has the same rating as a 'Very likely' probability is 'Major' [S1]. Both have a rating of 4 [S1].</t>
        </is>
      </c>
      <c r="G70" s="2" t="inlineStr">
        <is>
          <t>correct</t>
        </is>
      </c>
      <c r="H70" s="2" t="inlineStr">
        <is>
          <t>Major, rating 4, from the slide table.</t>
        </is>
      </c>
      <c r="I70" s="2" t="inlineStr">
        <is>
          <t>yes</t>
        </is>
      </c>
      <c r="J70" s="2" t="inlineStr">
        <is>
          <t>A source the answer names contains the expected phrase.</t>
        </is>
      </c>
      <c r="K70" s="2" t="n">
        <v>0.0003734</v>
      </c>
    </row>
    <row r="71">
      <c r="A71" s="2" t="inlineStr">
        <is>
          <t>A2</t>
        </is>
      </c>
      <c r="B71" s="2" t="inlineStr">
        <is>
          <t>A2</t>
        </is>
      </c>
      <c r="C71" s="2" t="inlineStr">
        <is>
          <t>f7-q3</t>
        </is>
      </c>
      <c r="D71" s="2" t="inlineStr">
        <is>
          <t>According to the Prevent slides, on what scale are the severity and likelihood of risks usually ranked?</t>
        </is>
      </c>
      <c r="E71" s="2" t="inlineStr">
        <is>
          <t>A 1-5 scale</t>
        </is>
      </c>
      <c r="F71" s="2" t="inlineStr">
        <is>
          <t>The severity and likelihood of risks are usually ranked on a 1-5 scale [S3].</t>
        </is>
      </c>
      <c r="G71" s="2" t="inlineStr">
        <is>
          <t>correct</t>
        </is>
      </c>
      <c r="H71" s="2" t="inlineStr">
        <is>
          <t>1-5 scale, from the slide table.</t>
        </is>
      </c>
      <c r="I71" s="2" t="inlineStr">
        <is>
          <t>yes</t>
        </is>
      </c>
      <c r="J71" s="2" t="inlineStr">
        <is>
          <t>A source the answer names contains the expected phrase.</t>
        </is>
      </c>
      <c r="K71" s="2" t="n">
        <v>0.0003761</v>
      </c>
    </row>
    <row r="72">
      <c r="A72" s="2" t="inlineStr">
        <is>
          <t>A2</t>
        </is>
      </c>
      <c r="B72" s="2" t="inlineStr">
        <is>
          <t>A2</t>
        </is>
      </c>
      <c r="C72" s="2" t="inlineStr">
        <is>
          <t>f7-q4</t>
        </is>
      </c>
      <c r="D72" s="2" t="inlineStr">
        <is>
          <t>What score marks a critical risk in the Prevent risk assessment matrix?</t>
        </is>
      </c>
      <c r="E72" s="2" t="inlineStr">
        <is>
          <t>Not stated in the source (the highest band is High risk, 12+).</t>
        </is>
      </c>
      <c r="F72" s="2" t="inlineStr">
        <is>
          <t>INSUFFICIENT_EVIDENCE. The provided text describes risk levels as low, medium, and high, but does not define a "critical risk" or specify a score for it [S1].</t>
        </is>
      </c>
      <c r="G72" s="2" t="inlineStr">
        <is>
          <t>correct-abstain</t>
        </is>
      </c>
      <c r="H72" s="2" t="inlineStr">
        <is>
          <t>Declined; the matrix has no critical band.</t>
        </is>
      </c>
      <c r="I72" s="2" t="inlineStr">
        <is>
          <t>n/a</t>
        </is>
      </c>
      <c r="J72" s="2" t="inlineStr">
        <is>
          <t>No answer to support.</t>
        </is>
      </c>
      <c r="K72" s="2" t="n">
        <v>0.0003338</v>
      </c>
    </row>
    <row r="73">
      <c r="A73" s="2" t="inlineStr">
        <is>
          <t>A2</t>
        </is>
      </c>
      <c r="B73" s="2" t="inlineStr">
        <is>
          <t>A2</t>
        </is>
      </c>
      <c r="C73" s="2" t="inlineStr">
        <is>
          <t>f5-q4</t>
        </is>
      </c>
      <c r="D73" s="2" t="inlineStr">
        <is>
          <t>How much water did Alaska withdraw for irrigation in 1950 according to USGS Circular 115?</t>
        </is>
      </c>
      <c r="E73" s="2" t="inlineStr">
        <is>
          <t>Not stated in the source.</t>
        </is>
      </c>
      <c r="F73" s="2" t="inlineStr">
        <is>
          <t>INSUFFICIENT_EVIDENCE. The provided text does not contain information about the amount of water Alaska withdrew for irrigation in 1950. While Table 1 lists water withdrawal data for various states, Alaska is not included in the table [S1].</t>
        </is>
      </c>
      <c r="G73" s="2" t="inlineStr">
        <is>
          <t>correct-abstain</t>
        </is>
      </c>
      <c r="H73" s="2" t="inlineStr">
        <is>
          <t>Declined; Alaska is not in Table 1.</t>
        </is>
      </c>
      <c r="I73" s="2" t="inlineStr">
        <is>
          <t>n/a</t>
        </is>
      </c>
      <c r="J73" s="2" t="inlineStr">
        <is>
          <t>No answer to support.</t>
        </is>
      </c>
      <c r="K73" s="2" t="n">
        <v>0.000753</v>
      </c>
    </row>
    <row r="74">
      <c r="A74" s="2" t="inlineStr">
        <is>
          <t>A2</t>
        </is>
      </c>
      <c r="B74" s="2" t="inlineStr">
        <is>
          <t>A2</t>
        </is>
      </c>
      <c r="C74" s="2" t="inlineStr">
        <is>
          <t>f4-q5</t>
        </is>
      </c>
      <c r="D74" s="2" t="inlineStr">
        <is>
          <t>Quel était le taux de chômage au Japon en 2018 selon ce rapport ?</t>
        </is>
      </c>
      <c r="E74" s="2" t="inlineStr">
        <is>
          <t>Not stated in the source.</t>
        </is>
      </c>
      <c r="F74" s="2" t="inlineStr">
        <is>
          <t>INSUFFICIENT_EVIDENCE. Le rapport ne mentionne pas le taux de chômage au Japon en 2018 [S1, S2, S3, S4, S5].</t>
        </is>
      </c>
      <c r="G74" s="2" t="inlineStr">
        <is>
          <t>correct-abstain</t>
        </is>
      </c>
      <c r="H74" s="2" t="inlineStr">
        <is>
          <t>Declined; not in the report.</t>
        </is>
      </c>
      <c r="I74" s="2" t="inlineStr">
        <is>
          <t>n/a</t>
        </is>
      </c>
      <c r="J74" s="2" t="inlineStr">
        <is>
          <t>No answer to support.</t>
        </is>
      </c>
      <c r="K74" s="2" t="n">
        <v>0.0006146</v>
      </c>
    </row>
    <row r="75">
      <c r="A75" s="2" t="inlineStr">
        <is>
          <t>A3</t>
        </is>
      </c>
      <c r="B75" s="2" t="inlineStr">
        <is>
          <t>A3</t>
        </is>
      </c>
      <c r="C75" s="2" t="inlineStr">
        <is>
          <t>f1-q1</t>
        </is>
      </c>
      <c r="D75" s="2" t="inlineStr">
        <is>
          <t>What are the layer, hidden size and attention head settings of BERT-base?</t>
        </is>
      </c>
      <c r="E75" s="2" t="inlineStr">
        <is>
          <t>12 layers, hidden size 768, 12 attention heads (110M parameters).</t>
        </is>
      </c>
      <c r="F75" s="2" t="inlineStr">
        <is>
          <t>BERT-base has 12 layers (L=12), a hidden size of 768 (H=768), and 12 attention heads (A=12) [S2].</t>
        </is>
      </c>
      <c r="G75" s="2" t="inlineStr">
        <is>
          <t>correct</t>
        </is>
      </c>
      <c r="H75" s="2" t="inlineStr">
        <is>
          <t>States L=12, H=768, A=12.</t>
        </is>
      </c>
      <c r="I75" s="2" t="inlineStr">
        <is>
          <t>yes</t>
        </is>
      </c>
      <c r="J75" s="2" t="inlineStr">
        <is>
          <t>A source the answer names contains the expected phrase.</t>
        </is>
      </c>
      <c r="K75" s="2" t="n">
        <v>0.0007332</v>
      </c>
    </row>
    <row r="76">
      <c r="A76" s="2" t="inlineStr">
        <is>
          <t>A3</t>
        </is>
      </c>
      <c r="B76" s="2" t="inlineStr">
        <is>
          <t>A3</t>
        </is>
      </c>
      <c r="C76" s="2" t="inlineStr">
        <is>
          <t>f1-q4</t>
        </is>
      </c>
      <c r="D76" s="2" t="inlineStr">
        <is>
          <t>Which corpora were used to pre-train BERT?</t>
        </is>
      </c>
      <c r="E76" s="2" t="inlineStr">
        <is>
          <t>BooksCorpus (800M words) and English Wikipedia (2,500M words).</t>
        </is>
      </c>
      <c r="F76" s="2" t="inlineStr">
        <is>
          <t>The BooksCorpus (800M words) and English Wikipedia (2,500M words) were used to pre-train BERT [S1].</t>
        </is>
      </c>
      <c r="G76" s="2" t="inlineStr">
        <is>
          <t>correct</t>
        </is>
      </c>
      <c r="H76" s="2" t="inlineStr">
        <is>
          <t>BooksCorpus 800M and English Wikipedia 2,500M words.</t>
        </is>
      </c>
      <c r="I76" s="2" t="inlineStr">
        <is>
          <t>yes</t>
        </is>
      </c>
      <c r="J76" s="2" t="inlineStr">
        <is>
          <t>A source the answer names contains the expected phrase.</t>
        </is>
      </c>
      <c r="K76" s="2" t="n">
        <v>0.0003391</v>
      </c>
    </row>
    <row r="77">
      <c r="A77" s="2" t="inlineStr">
        <is>
          <t>A3</t>
        </is>
      </c>
      <c r="B77" s="2" t="inlineStr">
        <is>
          <t>A3</t>
        </is>
      </c>
      <c r="C77" s="2" t="inlineStr">
        <is>
          <t>f2-q1</t>
        </is>
      </c>
      <c r="D77" s="2" t="inlineStr">
        <is>
          <t>What was real median household income in the United States in 2022?</t>
        </is>
      </c>
      <c r="E77" s="2" t="inlineStr">
        <is>
          <t>$74,580</t>
        </is>
      </c>
      <c r="F77" s="2" t="inlineStr">
        <is>
          <t>Real median household income in the United States was $74,580 in 2022 [S1].</t>
        </is>
      </c>
      <c r="G77" s="2" t="inlineStr">
        <is>
          <t>correct</t>
        </is>
      </c>
      <c r="H77" s="2" t="inlineStr">
        <is>
          <t>Matches the reference answer.</t>
        </is>
      </c>
      <c r="I77" s="2" t="inlineStr">
        <is>
          <t>yes</t>
        </is>
      </c>
      <c r="J77" s="2" t="inlineStr">
        <is>
          <t>A source the answer names contains the expected phrase.</t>
        </is>
      </c>
      <c r="K77" s="2" t="n">
        <v>0.0006071</v>
      </c>
    </row>
    <row r="78">
      <c r="A78" s="2" t="inlineStr">
        <is>
          <t>A3</t>
        </is>
      </c>
      <c r="B78" s="2" t="inlineStr">
        <is>
          <t>A3</t>
        </is>
      </c>
      <c r="C78" s="2" t="inlineStr">
        <is>
          <t>f2-q4</t>
        </is>
      </c>
      <c r="D78" s="2" t="inlineStr">
        <is>
          <t>What was the median income of married-couple households in 2022 according to Table A-1?</t>
        </is>
      </c>
      <c r="E78" s="2" t="inlineStr">
        <is>
          <t>$110,800</t>
        </is>
      </c>
      <c r="F78" s="2" t="inlineStr">
        <is>
          <t>The median income of married-couple households in 2022 was $110,800 [S2].</t>
        </is>
      </c>
      <c r="G78" s="2" t="inlineStr">
        <is>
          <t>correct</t>
        </is>
      </c>
      <c r="H78" s="2" t="inlineStr">
        <is>
          <t>Matches the reference answer.</t>
        </is>
      </c>
      <c r="I78" s="2" t="inlineStr">
        <is>
          <t>yes</t>
        </is>
      </c>
      <c r="J78" s="2" t="inlineStr">
        <is>
          <t>A source the answer names contains the expected phrase.</t>
        </is>
      </c>
      <c r="K78" s="2" t="n">
        <v>0.0008232</v>
      </c>
    </row>
    <row r="79">
      <c r="A79" s="2" t="inlineStr">
        <is>
          <t>A3</t>
        </is>
      </c>
      <c r="B79" s="2" t="inlineStr">
        <is>
          <t>A3</t>
        </is>
      </c>
      <c r="C79" s="2" t="inlineStr">
        <is>
          <t>f2-q6</t>
        </is>
      </c>
      <c r="D79" s="2" t="inlineStr">
        <is>
          <t>What was the median income of nonfamily households in 2022 according to Table A-1?</t>
        </is>
      </c>
      <c r="E79" s="2" t="inlineStr">
        <is>
          <t>$45,440</t>
        </is>
      </c>
      <c r="F79" s="2" t="inlineStr">
        <is>
          <t>The median income of nonfamily households in 2022 was $45,440 [S1, S2].</t>
        </is>
      </c>
      <c r="G79" s="2" t="inlineStr">
        <is>
          <t>correct</t>
        </is>
      </c>
      <c r="H79" s="2" t="inlineStr">
        <is>
          <t>Matches the reference answer.</t>
        </is>
      </c>
      <c r="I79" s="2" t="inlineStr">
        <is>
          <t>yes</t>
        </is>
      </c>
      <c r="J79" s="2" t="inlineStr">
        <is>
          <t>A source the answer names contains the expected phrase.</t>
        </is>
      </c>
      <c r="K79" s="2" t="n">
        <v>0.0007939000000000001</v>
      </c>
    </row>
    <row r="80">
      <c r="A80" s="2" t="inlineStr">
        <is>
          <t>A3</t>
        </is>
      </c>
      <c r="B80" s="2" t="inlineStr">
        <is>
          <t>A3</t>
        </is>
      </c>
      <c r="C80" s="2" t="inlineStr">
        <is>
          <t>f3-q1</t>
        </is>
      </c>
      <c r="D80" s="2" t="inlineStr">
        <is>
          <t>How many television pictures does Part III of the Surveyor VI report present?</t>
        </is>
      </c>
      <c r="E80" s="2" t="inlineStr">
        <is>
          <t>139 pictures.</t>
        </is>
      </c>
      <c r="F80" s="2" t="inlineStr">
        <is>
          <t>Part III of the Surveyor VI report presents 139 television pictures [S1, S2].</t>
        </is>
      </c>
      <c r="G80" s="2" t="inlineStr">
        <is>
          <t>correct</t>
        </is>
      </c>
      <c r="H80" s="2" t="inlineStr">
        <is>
          <t>139 pictures, as the reference.</t>
        </is>
      </c>
      <c r="I80" s="2" t="inlineStr">
        <is>
          <t>yes</t>
        </is>
      </c>
      <c r="J80" s="2" t="inlineStr">
        <is>
          <t>A source the answer names contains the expected phrase.</t>
        </is>
      </c>
      <c r="K80" s="2" t="n">
        <v>0.0004443</v>
      </c>
    </row>
    <row r="81">
      <c r="A81" s="2" t="inlineStr">
        <is>
          <t>A3</t>
        </is>
      </c>
      <c r="B81" s="2" t="inlineStr">
        <is>
          <t>A3</t>
        </is>
      </c>
      <c r="C81" s="2" t="inlineStr">
        <is>
          <t>f3-q4</t>
        </is>
      </c>
      <c r="D81" s="2" t="inlineStr">
        <is>
          <t>What is the mass of the Surveyor survey TV camera?</t>
        </is>
      </c>
      <c r="E81" s="2" t="inlineStr">
        <is>
          <t>7.3 kg.</t>
        </is>
      </c>
      <c r="F81" s="2" t="inlineStr">
        <is>
          <t>The Surveyor survey TV camera has a mass of 7.3 kg [S3].</t>
        </is>
      </c>
      <c r="G81" s="2" t="inlineStr">
        <is>
          <t>correct</t>
        </is>
      </c>
      <c r="H81" s="2" t="inlineStr">
        <is>
          <t>Matches the reference answer.</t>
        </is>
      </c>
      <c r="I81" s="2" t="inlineStr">
        <is>
          <t>yes</t>
        </is>
      </c>
      <c r="J81" s="2" t="inlineStr">
        <is>
          <t>A source the answer names contains the expected phrase.</t>
        </is>
      </c>
      <c r="K81" s="2" t="n">
        <v>0.000513</v>
      </c>
    </row>
    <row r="82">
      <c r="A82" s="2" t="inlineStr">
        <is>
          <t>A3</t>
        </is>
      </c>
      <c r="B82" s="2" t="inlineStr">
        <is>
          <t>A3</t>
        </is>
      </c>
      <c r="C82" s="2" t="inlineStr">
        <is>
          <t>f3-q8</t>
        </is>
      </c>
      <c r="D82" s="2" t="inlineStr">
        <is>
          <t>What was the landing site latitude of Surveyor VII?</t>
        </is>
      </c>
      <c r="E82" s="2" t="inlineStr">
        <is>
          <t>Not stated in the source.</t>
        </is>
      </c>
      <c r="F82" s="2" t="inlineStr">
        <is>
          <t>INSUFFICIENT_EVIDENCE. The provided documents discuss the Surveyor VI mission but do not contain information about the landing site latitude of Surveyor VII [S1, S2, S3, S4, S5].</t>
        </is>
      </c>
      <c r="G82" s="2" t="inlineStr">
        <is>
          <t>correct-abstain</t>
        </is>
      </c>
      <c r="H82" s="2" t="inlineStr">
        <is>
          <t>Declined; not in the source.</t>
        </is>
      </c>
      <c r="I82" s="2" t="inlineStr">
        <is>
          <t>n/a</t>
        </is>
      </c>
      <c r="J82" s="2" t="inlineStr">
        <is>
          <t>No answer to support.</t>
        </is>
      </c>
      <c r="K82" s="2" t="n">
        <v>0.0004866</v>
      </c>
    </row>
    <row r="83">
      <c r="A83" s="2" t="inlineStr">
        <is>
          <t>A3</t>
        </is>
      </c>
      <c r="B83" s="2" t="inlineStr">
        <is>
          <t>A3</t>
        </is>
      </c>
      <c r="C83" s="2" t="inlineStr">
        <is>
          <t>f2-q9</t>
        </is>
      </c>
      <c r="D83" s="2" t="inlineStr">
        <is>
          <t>According to Table A-2, what was the median household income for all races in 2015, in 2022 dollars?</t>
        </is>
      </c>
      <c r="E83" s="2" t="inlineStr">
        <is>
          <t>$68,410</t>
        </is>
      </c>
      <c r="F83" s="2" t="inlineStr">
        <is>
          <t>INSUFFICIENT_EVIDENCE. The provided evidence does not contain a Table A-2. It contains Table A-1, but this table does not list the median household income for all races in 2015 [S2].</t>
        </is>
      </c>
      <c r="G83" s="2" t="inlineStr">
        <is>
          <t>wrong-abstain</t>
        </is>
      </c>
      <c r="H83" s="2" t="inlineStr">
        <is>
          <t>Declined; the Table A-2 2015 row is in the index under its caption (v5) but not in the top 5, which held Table A-1, Figure 2 and the page 8 summary.</t>
        </is>
      </c>
      <c r="I83" s="2" t="inlineStr">
        <is>
          <t>n/a</t>
        </is>
      </c>
      <c r="J83" s="2" t="inlineStr">
        <is>
          <t>No answer to support.</t>
        </is>
      </c>
      <c r="K83" s="2" t="n">
        <v>0.0008606</v>
      </c>
    </row>
    <row r="84">
      <c r="A84" s="2" t="inlineStr">
        <is>
          <t>A3</t>
        </is>
      </c>
      <c r="B84" s="2" t="inlineStr">
        <is>
          <t>A3</t>
        </is>
      </c>
      <c r="C84" s="2" t="inlineStr">
        <is>
          <t>f2-q10</t>
        </is>
      </c>
      <c r="D84" s="2" t="inlineStr">
        <is>
          <t>According to Table A-2, what was the mean household income for all races in 1990, in 2022 dollars?</t>
        </is>
      </c>
      <c r="E84" s="2" t="inlineStr">
        <is>
          <t>$76,820</t>
        </is>
      </c>
      <c r="F84" s="2" t="inlineStr">
        <is>
          <t>INSUFFICIENT_EVIDENCE. The provided Table A-2 does not contain data for the year 1990 for "ALL RACES" [S3, S4].</t>
        </is>
      </c>
      <c r="G84" s="2" t="inlineStr">
        <is>
          <t>wrong-abstain</t>
        </is>
      </c>
      <c r="H84" s="2" t="inlineStr">
        <is>
          <t>Declined; Table A-2 chunks were retrieved (now with their caption) but not the one with the 1990 row.</t>
        </is>
      </c>
      <c r="I84" s="2" t="inlineStr">
        <is>
          <t>n/a</t>
        </is>
      </c>
      <c r="J84" s="2" t="inlineStr">
        <is>
          <t>No answer to support.</t>
        </is>
      </c>
      <c r="K84" s="2" t="n">
        <v>0.0012306</v>
      </c>
    </row>
    <row r="85">
      <c r="A85" s="2" t="inlineStr">
        <is>
          <t>A3</t>
        </is>
      </c>
      <c r="B85" s="2" t="inlineStr">
        <is>
          <t>A3</t>
        </is>
      </c>
      <c r="C85" s="2" t="inlineStr">
        <is>
          <t>f4-q1</t>
        </is>
      </c>
      <c r="D85" s="2" t="inlineStr">
        <is>
          <t>Combien de décès dus aux maladies de l'appareil circulatoire pour 100 000 habitants l'UE-28 comptait-elle en 2015 ?</t>
        </is>
      </c>
      <c r="E85" s="2" t="inlineStr">
        <is>
          <t>381 décès pour 100 000 habitants</t>
        </is>
      </c>
      <c r="F85" s="2" t="inlineStr">
        <is>
          <t>INSUFFICIENT_EVIDENCE. Le document indique que les maladies de l'appareil circulatoire ont causé 36,7 % des décès dans l'UE-28 en 2015 [S3]. Il fournit également des exemples de taux de mortalité pour la Bulgarie (1 133 décès pour 100 000 habitants) et la France (205 décès pour 100 000 habitants) [S4], mais ne donne pas le chiffre global pour l'UE-28.</t>
        </is>
      </c>
      <c r="G85" s="2" t="inlineStr">
        <is>
          <t>wrong-abstain</t>
        </is>
      </c>
      <c r="H85" s="2" t="inlineStr">
        <is>
          <t>Declined; the callout '381 deces pour 100 000 habitants' is now in the index (v5) but as a 36-token heading chunk outside the top 5.</t>
        </is>
      </c>
      <c r="I85" s="2" t="inlineStr">
        <is>
          <t>n/a</t>
        </is>
      </c>
      <c r="J85" s="2" t="inlineStr">
        <is>
          <t>No answer to support.</t>
        </is>
      </c>
      <c r="K85" s="2" t="n">
        <v>0.0008938</v>
      </c>
    </row>
    <row r="86">
      <c r="A86" s="2" t="inlineStr">
        <is>
          <t>A3</t>
        </is>
      </c>
      <c r="B86" s="2" t="inlineStr">
        <is>
          <t>A3</t>
        </is>
      </c>
      <c r="C86" s="2" t="inlineStr">
        <is>
          <t>f4-q2</t>
        </is>
      </c>
      <c r="D86" s="2" t="inlineStr">
        <is>
          <t>En 2015, combien de fois plus de risques de mourir d'une maladie de l'appareil circulatoire avait une personne vivant en Bulgarie qu'une personne vivant en France ?</t>
        </is>
      </c>
      <c r="E86" s="2" t="inlineStr">
        <is>
          <t>5,5 fois plus</t>
        </is>
      </c>
      <c r="F86" s="2" t="inlineStr">
        <is>
          <t>En 2015, une personne vivant en Bulgarie avait 5,5 fois plus de risques de mourir d'une maladie de l'appareil circulatoire qu'une personne vivant en France [S1].</t>
        </is>
      </c>
      <c r="G86" s="2" t="inlineStr">
        <is>
          <t>correct</t>
        </is>
      </c>
      <c r="H86" s="2" t="inlineStr">
        <is>
          <t>5,5 fois, as the reference.</t>
        </is>
      </c>
      <c r="I86" s="2" t="inlineStr">
        <is>
          <t>yes</t>
        </is>
      </c>
      <c r="J86" s="2" t="inlineStr">
        <is>
          <t>A source the answer names contains the expected phrase.</t>
        </is>
      </c>
      <c r="K86" s="2" t="n">
        <v>0.0007147</v>
      </c>
    </row>
    <row r="87">
      <c r="A87" s="2" t="inlineStr">
        <is>
          <t>A3</t>
        </is>
      </c>
      <c r="B87" s="2" t="inlineStr">
        <is>
          <t>A3</t>
        </is>
      </c>
      <c r="C87" s="2" t="inlineStr">
        <is>
          <t>f4-q3</t>
        </is>
      </c>
      <c r="D87" s="2" t="inlineStr">
        <is>
          <t>Quelle part des marchandises transportées dans l'UE-28 l'est par la route ?</t>
        </is>
      </c>
      <c r="E87" s="2" t="inlineStr">
        <is>
          <t>77 %</t>
        </is>
      </c>
      <c r="F87" s="2" t="inlineStr">
        <is>
          <t>76,7 % des marchandises transportées dans l'UE-28 l'ont été par la route en 2017 [S1].</t>
        </is>
      </c>
      <c r="G87" s="2" t="inlineStr">
        <is>
          <t>correct</t>
        </is>
      </c>
      <c r="H87" s="2" t="inlineStr">
        <is>
          <t>76,7 % by road (the prose figure; the chart callout rounds it to 77 %).</t>
        </is>
      </c>
      <c r="I87" s="2" t="inlineStr">
        <is>
          <t>yes</t>
        </is>
      </c>
      <c r="J87" s="2" t="inlineStr">
        <is>
          <t>The cited chunk states 76,7 %; the reference phrase was the rounded callout.</t>
        </is>
      </c>
      <c r="K87" s="2" t="n">
        <v>0.0005955</v>
      </c>
    </row>
    <row r="88">
      <c r="A88" s="2" t="inlineStr">
        <is>
          <t>A3</t>
        </is>
      </c>
      <c r="B88" s="2" t="inlineStr">
        <is>
          <t>A3</t>
        </is>
      </c>
      <c r="C88" s="2" t="inlineStr">
        <is>
          <t>f4-q4</t>
        </is>
      </c>
      <c r="D88" s="2" t="inlineStr">
        <is>
          <t>De combien les émissions de gaz à effet de serre de l'UE-28 ont-elles baissé par rapport à 1990 ?</t>
        </is>
      </c>
      <c r="E88" s="2" t="inlineStr">
        <is>
          <t>De 22 % par rapport à 1990</t>
        </is>
      </c>
      <c r="F88" s="2" t="inlineStr">
        <is>
          <t>En 2016, les émissions de gaz à effet de serre de l'UE-28 avaient baissé de 22,4 % par rapport à leurs niveaux de 1990 [S1].</t>
        </is>
      </c>
      <c r="G88" s="2" t="inlineStr">
        <is>
          <t>correct</t>
        </is>
      </c>
      <c r="H88" s="2" t="inlineStr">
        <is>
          <t>22,4 % against 1990 (the prose figure; the callout rounds it to 22 %).</t>
        </is>
      </c>
      <c r="I88" s="2" t="inlineStr">
        <is>
          <t>yes</t>
        </is>
      </c>
      <c r="J88" s="2" t="inlineStr">
        <is>
          <t>The cited chunk states 22,4 % against 1990; the reference phrase was the rounded callout.</t>
        </is>
      </c>
      <c r="K88" s="2" t="n">
        <v>0.0007475</v>
      </c>
    </row>
    <row r="89">
      <c r="A89" s="2" t="inlineStr">
        <is>
          <t>A3</t>
        </is>
      </c>
      <c r="B89" s="2" t="inlineStr">
        <is>
          <t>A3</t>
        </is>
      </c>
      <c r="C89" s="2" t="inlineStr">
        <is>
          <t>f5-q1</t>
        </is>
      </c>
      <c r="D89" s="2" t="inlineStr">
        <is>
          <t>Who prepared the compilation of the 1950 water-use estimates in USGS Circular 115?</t>
        </is>
      </c>
      <c r="E89" s="2" t="inlineStr">
        <is>
          <t>Kenneth A. MacKichan</t>
        </is>
      </c>
      <c r="F89" s="2" t="inlineStr">
        <is>
          <t>Kenneth A. MacKichan prepared the compilation of the 1950 water-use estimates in USGS Circular 115 [S1, S3].</t>
        </is>
      </c>
      <c r="G89" s="2" t="inlineStr">
        <is>
          <t>correct</t>
        </is>
      </c>
      <c r="H89" s="2" t="inlineStr">
        <is>
          <t>Matches the reference answer.</t>
        </is>
      </c>
      <c r="I89" s="2" t="inlineStr">
        <is>
          <t>yes</t>
        </is>
      </c>
      <c r="J89" s="2" t="inlineStr">
        <is>
          <t>A source the answer names contains the expected phrase.</t>
        </is>
      </c>
      <c r="K89" s="2" t="n">
        <v>0.0006547</v>
      </c>
    </row>
    <row r="90">
      <c r="A90" s="2" t="inlineStr">
        <is>
          <t>A3</t>
        </is>
      </c>
      <c r="B90" s="2" t="inlineStr">
        <is>
          <t>A3</t>
        </is>
      </c>
      <c r="C90" s="2" t="inlineStr">
        <is>
          <t>f5-q2</t>
        </is>
      </c>
      <c r="D90" s="2" t="inlineStr">
        <is>
          <t>According to Table 1 of USGS Circular 115, how much surface water did municipalities in Illinois use in 1950 (mgd)?</t>
        </is>
      </c>
      <c r="E90" s="2" t="inlineStr">
        <is>
          <t>1,070 mgd</t>
        </is>
      </c>
      <c r="F90" s="2" t="inlineStr">
        <is>
          <t>INSUFFICIENT_EVIDENCE. The provided text includes Table 1, which lists municipal water usage for several states, but Illinois is not among them [S3].</t>
        </is>
      </c>
      <c r="G90" s="2" t="inlineStr">
        <is>
          <t>wrong-abstain</t>
        </is>
      </c>
      <c r="H90" s="2" t="inlineStr">
        <is>
          <t>Declined; the Illinois OCR row is not in the top 5.</t>
        </is>
      </c>
      <c r="I90" s="2" t="inlineStr">
        <is>
          <t>n/a</t>
        </is>
      </c>
      <c r="J90" s="2" t="inlineStr">
        <is>
          <t>No answer to support.</t>
        </is>
      </c>
      <c r="K90" s="2" t="n">
        <v>0.0006794</v>
      </c>
    </row>
    <row r="91">
      <c r="A91" s="2" t="inlineStr">
        <is>
          <t>A3</t>
        </is>
      </c>
      <c r="B91" s="2" t="inlineStr">
        <is>
          <t>A3</t>
        </is>
      </c>
      <c r="C91" s="2" t="inlineStr">
        <is>
          <t>f5-q3</t>
        </is>
      </c>
      <c r="D91" s="2" t="inlineStr">
        <is>
          <t>According to Table 1 of USGS Circular 115, how much ground water did municipalities in Kansas use in 1950 (mgd)?</t>
        </is>
      </c>
      <c r="E91" s="2" t="inlineStr">
        <is>
          <t>75 mgd</t>
        </is>
      </c>
      <c r="F91" s="2" t="inlineStr">
        <is>
          <t>INSUFFICIENT_EVIDENCE. The provided text includes Table 1, but Kansas is not listed in the table [S2].</t>
        </is>
      </c>
      <c r="G91" s="2" t="inlineStr">
        <is>
          <t>wrong-abstain</t>
        </is>
      </c>
      <c r="H91" s="2" t="inlineStr">
        <is>
          <t>Declined; the Kansas row is not in the evidence, and OCR reads its 75 as 78.</t>
        </is>
      </c>
      <c r="I91" s="2" t="inlineStr">
        <is>
          <t>n/a</t>
        </is>
      </c>
      <c r="J91" s="2" t="inlineStr">
        <is>
          <t>No answer to support.</t>
        </is>
      </c>
      <c r="K91" s="2" t="n">
        <v>0.0006727</v>
      </c>
    </row>
    <row r="92">
      <c r="A92" s="2" t="inlineStr">
        <is>
          <t>A3</t>
        </is>
      </c>
      <c r="B92" s="2" t="inlineStr">
        <is>
          <t>A3</t>
        </is>
      </c>
      <c r="C92" s="2" t="inlineStr">
        <is>
          <t>f6-q1</t>
        </is>
      </c>
      <c r="D92" s="2" t="inlineStr">
        <is>
          <t>What is the word limit for section A3.2, on tackling potholes, in the DfT highways maintenance transparency report template?</t>
        </is>
      </c>
      <c r="E92" s="2" t="inlineStr">
        <is>
          <t>250 words</t>
        </is>
      </c>
      <c r="F92" s="2" t="inlineStr">
        <is>
          <t>INSUFFICIENT_EVIDENCE. The provided text describes section A3.2 and its guidance, but it does not explicitly state a word limit for this specific section [S1, S3, S4].</t>
        </is>
      </c>
      <c r="G92" s="2" t="inlineStr">
        <is>
          <t>wrong-abstain</t>
        </is>
      </c>
      <c r="H92" s="2" t="inlineStr">
        <is>
          <t>Declined; 'Word limit - 250 words' is in the evidence but the A3.2 heading is in an earlier chunk.</t>
        </is>
      </c>
      <c r="I92" s="2" t="inlineStr">
        <is>
          <t>n/a</t>
        </is>
      </c>
      <c r="J92" s="2" t="inlineStr">
        <is>
          <t>No answer to support.</t>
        </is>
      </c>
      <c r="K92" s="2" t="n">
        <v>0.0006455</v>
      </c>
    </row>
    <row r="93">
      <c r="A93" s="2" t="inlineStr">
        <is>
          <t>A3</t>
        </is>
      </c>
      <c r="B93" s="2" t="inlineStr">
        <is>
          <t>A3</t>
        </is>
      </c>
      <c r="C93" s="2" t="inlineStr">
        <is>
          <t>f6-q2</t>
        </is>
      </c>
      <c r="D93" s="2" t="inlineStr">
        <is>
          <t>Into which asset categories does table A4.1 of the DfT template break down spending on highways maintenance?</t>
        </is>
      </c>
      <c r="E93" s="2" t="inlineStr">
        <is>
          <t>Carriageways, footways, structures, drainage, street lighting and other assets</t>
        </is>
      </c>
      <c r="F93" s="2" t="inlineStr">
        <is>
          <t>Table A4.1 of the DfT template breaks down spending on highways maintenance into the following asset categories: Carriageways, Footways, Structures (for example bridges or tunnels), Drainage, Street lighting, and Other assets [S1].</t>
        </is>
      </c>
      <c r="G93" s="2" t="inlineStr">
        <is>
          <t>correct</t>
        </is>
      </c>
      <c r="H93" s="2" t="inlineStr">
        <is>
          <t>All six categories.</t>
        </is>
      </c>
      <c r="I93" s="2" t="inlineStr">
        <is>
          <t>yes</t>
        </is>
      </c>
      <c r="J93" s="2" t="inlineStr">
        <is>
          <t>A source the answer names contains the expected phrase.</t>
        </is>
      </c>
      <c r="K93" s="2" t="n">
        <v>0.0006089999999999999</v>
      </c>
    </row>
    <row r="94">
      <c r="A94" s="2" t="inlineStr">
        <is>
          <t>A3</t>
        </is>
      </c>
      <c r="B94" s="2" t="inlineStr">
        <is>
          <t>A3</t>
        </is>
      </c>
      <c r="C94" s="2" t="inlineStr">
        <is>
          <t>f7-q1</t>
        </is>
      </c>
      <c r="D94" s="2" t="inlineStr">
        <is>
          <t>In the Prevent risk assessment example matrix, what score range counts as medium risk?</t>
        </is>
      </c>
      <c r="E94" s="2" t="inlineStr">
        <is>
          <t>7 to 11</t>
        </is>
      </c>
      <c r="F94" s="2" t="inlineStr">
        <is>
          <t>In the Prevent risk assessment example matrix, a score range of 7 to 11 counts as medium risk [S1].</t>
        </is>
      </c>
      <c r="G94" s="2" t="inlineStr">
        <is>
          <t>correct</t>
        </is>
      </c>
      <c r="H94" s="2" t="inlineStr">
        <is>
          <t>7 to 11, from the slide table.</t>
        </is>
      </c>
      <c r="I94" s="2" t="inlineStr">
        <is>
          <t>yes</t>
        </is>
      </c>
      <c r="J94" s="2" t="inlineStr">
        <is>
          <t>A source the answer names contains the expected phrase.</t>
        </is>
      </c>
      <c r="K94" s="2" t="n">
        <v>0.000335</v>
      </c>
    </row>
    <row r="95">
      <c r="A95" s="2" t="inlineStr">
        <is>
          <t>A3</t>
        </is>
      </c>
      <c r="B95" s="2" t="inlineStr">
        <is>
          <t>A3</t>
        </is>
      </c>
      <c r="C95" s="2" t="inlineStr">
        <is>
          <t>f7-q2</t>
        </is>
      </c>
      <c r="D95" s="2" t="inlineStr">
        <is>
          <t>In the Prevent risk assessment matrix, which severity of impact has the same rating as a 'Very likely' probability?</t>
        </is>
      </c>
      <c r="E95" s="2" t="inlineStr">
        <is>
          <t>Major (rating 4)</t>
        </is>
      </c>
      <c r="F95" s="2" t="inlineStr">
        <is>
          <t>In the Prevent risk assessment matrix, a 'Very likely' probability has a rating of 4. The severity of impact that shares this rating is 'Major' [S1].</t>
        </is>
      </c>
      <c r="G95" s="2" t="inlineStr">
        <is>
          <t>correct</t>
        </is>
      </c>
      <c r="H95" s="2" t="inlineStr">
        <is>
          <t>Major, rating 4, from the slide table.</t>
        </is>
      </c>
      <c r="I95" s="2" t="inlineStr">
        <is>
          <t>yes</t>
        </is>
      </c>
      <c r="J95" s="2" t="inlineStr">
        <is>
          <t>A source the answer names contains the expected phrase.</t>
        </is>
      </c>
      <c r="K95" s="2" t="n">
        <v>0.0003759</v>
      </c>
    </row>
    <row r="96">
      <c r="A96" s="2" t="inlineStr">
        <is>
          <t>A3</t>
        </is>
      </c>
      <c r="B96" s="2" t="inlineStr">
        <is>
          <t>A3</t>
        </is>
      </c>
      <c r="C96" s="2" t="inlineStr">
        <is>
          <t>f7-q3</t>
        </is>
      </c>
      <c r="D96" s="2" t="inlineStr">
        <is>
          <t>According to the Prevent slides, on what scale are the severity and likelihood of risks usually ranked?</t>
        </is>
      </c>
      <c r="E96" s="2" t="inlineStr">
        <is>
          <t>A 1-5 scale</t>
        </is>
      </c>
      <c r="F96" s="2" t="inlineStr">
        <is>
          <t>The severity and likelihood of risks are usually ranked on a 1-5 scale [S3].</t>
        </is>
      </c>
      <c r="G96" s="2" t="inlineStr">
        <is>
          <t>correct</t>
        </is>
      </c>
      <c r="H96" s="2" t="inlineStr">
        <is>
          <t>1-5 scale, from the slide table.</t>
        </is>
      </c>
      <c r="I96" s="2" t="inlineStr">
        <is>
          <t>yes</t>
        </is>
      </c>
      <c r="J96" s="2" t="inlineStr">
        <is>
          <t>A source the answer names contains the expected phrase.</t>
        </is>
      </c>
      <c r="K96" s="2" t="n">
        <v>0.0003761</v>
      </c>
    </row>
    <row r="97">
      <c r="A97" s="2" t="inlineStr">
        <is>
          <t>A3</t>
        </is>
      </c>
      <c r="B97" s="2" t="inlineStr">
        <is>
          <t>A3</t>
        </is>
      </c>
      <c r="C97" s="2" t="inlineStr">
        <is>
          <t>f7-q4</t>
        </is>
      </c>
      <c r="D97" s="2" t="inlineStr">
        <is>
          <t>What score marks a critical risk in the Prevent risk assessment matrix?</t>
        </is>
      </c>
      <c r="E97" s="2" t="inlineStr">
        <is>
          <t>Not stated in the source (the highest band is High risk, 12+).</t>
        </is>
      </c>
      <c r="F97" s="2" t="inlineStr">
        <is>
          <t>INSUFFICIENT_EVIDENCE. The provided text describes risk levels as low, medium, and high, but does not define a "critical risk" or specify a score for it [S1].</t>
        </is>
      </c>
      <c r="G97" s="2" t="inlineStr">
        <is>
          <t>correct-abstain</t>
        </is>
      </c>
      <c r="H97" s="2" t="inlineStr">
        <is>
          <t>Declined; the matrix has no critical band.</t>
        </is>
      </c>
      <c r="I97" s="2" t="inlineStr">
        <is>
          <t>n/a</t>
        </is>
      </c>
      <c r="J97" s="2" t="inlineStr">
        <is>
          <t>No answer to support.</t>
        </is>
      </c>
      <c r="K97" s="2" t="n">
        <v>0.0003338</v>
      </c>
    </row>
    <row r="98">
      <c r="A98" s="2" t="inlineStr">
        <is>
          <t>A3</t>
        </is>
      </c>
      <c r="B98" s="2" t="inlineStr">
        <is>
          <t>A3</t>
        </is>
      </c>
      <c r="C98" s="2" t="inlineStr">
        <is>
          <t>f5-q4</t>
        </is>
      </c>
      <c r="D98" s="2" t="inlineStr">
        <is>
          <t>How much water did Alaska withdraw for irrigation in 1950 according to USGS Circular 115?</t>
        </is>
      </c>
      <c r="E98" s="2" t="inlineStr">
        <is>
          <t>Not stated in the source.</t>
        </is>
      </c>
      <c r="F98" s="2" t="inlineStr">
        <is>
          <t>INSUFFICIENT_EVIDENCE. The provided text does not contain information about the amount of water Alaska withdrew for irrigation in 1950. While Table 1 lists water withdrawal data for various states, Alaska is not included in the table [S1].</t>
        </is>
      </c>
      <c r="G98" s="2" t="inlineStr">
        <is>
          <t>correct-abstain</t>
        </is>
      </c>
      <c r="H98" s="2" t="inlineStr">
        <is>
          <t>Declined; Alaska is not in Table 1.</t>
        </is>
      </c>
      <c r="I98" s="2" t="inlineStr">
        <is>
          <t>n/a</t>
        </is>
      </c>
      <c r="J98" s="2" t="inlineStr">
        <is>
          <t>No answer to support.</t>
        </is>
      </c>
      <c r="K98" s="2" t="n">
        <v>0.000753</v>
      </c>
    </row>
    <row r="99">
      <c r="A99" s="2" t="inlineStr">
        <is>
          <t>A3</t>
        </is>
      </c>
      <c r="B99" s="2" t="inlineStr">
        <is>
          <t>A3</t>
        </is>
      </c>
      <c r="C99" s="2" t="inlineStr">
        <is>
          <t>f4-q5</t>
        </is>
      </c>
      <c r="D99" s="2" t="inlineStr">
        <is>
          <t>Quel était le taux de chômage au Japon en 2018 selon ce rapport ?</t>
        </is>
      </c>
      <c r="E99" s="2" t="inlineStr">
        <is>
          <t>Not stated in the source.</t>
        </is>
      </c>
      <c r="F99" s="2" t="inlineStr">
        <is>
          <t>INSUFFICIENT_EVIDENCE. Le rapport ne mentionne pas le taux de chômage au Japon en 2018 [S1, S2, S3, S4, S5].</t>
        </is>
      </c>
      <c r="G99" s="2" t="inlineStr">
        <is>
          <t>correct-abstain</t>
        </is>
      </c>
      <c r="H99" s="2" t="inlineStr">
        <is>
          <t>Declined; not in the report.</t>
        </is>
      </c>
      <c r="I99" s="2" t="inlineStr">
        <is>
          <t>n/a</t>
        </is>
      </c>
      <c r="J99" s="2" t="inlineStr">
        <is>
          <t>No answer to support.</t>
        </is>
      </c>
      <c r="K99" s="2" t="n">
        <v>0.0006146</v>
      </c>
    </row>
    <row r="100">
      <c r="A100" s="2" t="inlineStr">
        <is>
          <t>A3</t>
        </is>
      </c>
      <c r="B100" s="2" t="inlineStr">
        <is>
          <t>A3</t>
        </is>
      </c>
      <c r="C100" s="2" t="inlineStr">
        <is>
          <t>g1-q1</t>
        </is>
      </c>
      <c r="D100" s="2" t="inlineStr">
        <is>
          <t>On the 2026 Form W-4 Deductions Worksheet, what is the most qualified overtime compensation a filer can enter (not married filing jointly)?</t>
        </is>
      </c>
      <c r="E100" s="2" t="inlineStr">
        <is>
          <t>$12,500 ($25,000 if married filing jointly)</t>
        </is>
      </c>
      <c r="F100" s="2" t="inlineStr">
        <is>
          <t>A filer who is not married filing jointly can enter up to $12,500 for qualified overtime compensation on the 2026 Form W-4 Deductions Worksheet, provided their total income is less than $150,000 [S1].</t>
        </is>
      </c>
      <c r="G100" s="2" t="inlineStr">
        <is>
          <t>correct</t>
        </is>
      </c>
      <c r="H100" s="2" t="inlineStr">
        <is>
          <t>$12,500 with the income condition.</t>
        </is>
      </c>
      <c r="I100" s="2" t="inlineStr">
        <is>
          <t>yes</t>
        </is>
      </c>
      <c r="J100" s="2" t="inlineStr">
        <is>
          <t>A source the answer names contains the expected phrase.</t>
        </is>
      </c>
      <c r="K100" s="2" t="n">
        <v>0.0008166</v>
      </c>
    </row>
    <row r="101">
      <c r="A101" s="2" t="inlineStr">
        <is>
          <t>A3</t>
        </is>
      </c>
      <c r="B101" s="2" t="inlineStr">
        <is>
          <t>A3</t>
        </is>
      </c>
      <c r="C101" s="2" t="inlineStr">
        <is>
          <t>g1-q2</t>
        </is>
      </c>
      <c r="D101" s="2" t="inlineStr">
        <is>
          <t>What standard deduction amount does the 2026 Form W-4 Deductions Worksheet list for head of household?</t>
        </is>
      </c>
      <c r="E101" s="2" t="inlineStr">
        <is>
          <t>$24,150</t>
        </is>
      </c>
      <c r="F101" s="2" t="inlineStr">
        <is>
          <t>The 2026 Form W-4 Deductions Worksheet lists a standard deduction amount of $24,150 for head of household [S1].</t>
        </is>
      </c>
      <c r="G101" s="2" t="inlineStr">
        <is>
          <t>correct</t>
        </is>
      </c>
      <c r="H101" s="2" t="inlineStr">
        <is>
          <t>Matches the reference answer.</t>
        </is>
      </c>
      <c r="I101" s="2" t="inlineStr">
        <is>
          <t>yes</t>
        </is>
      </c>
      <c r="J101" s="2" t="inlineStr">
        <is>
          <t>A source the answer names contains the expected phrase.</t>
        </is>
      </c>
      <c r="K101" s="2" t="n">
        <v>0.0007087</v>
      </c>
    </row>
    <row r="102">
      <c r="A102" s="2" t="inlineStr">
        <is>
          <t>A3</t>
        </is>
      </c>
      <c r="B102" s="2" t="inlineStr">
        <is>
          <t>A3</t>
        </is>
      </c>
      <c r="C102" s="2" t="inlineStr">
        <is>
          <t>g2-q1</t>
        </is>
      </c>
      <c r="D102" s="2" t="inlineStr">
        <is>
          <t>What minimum length does NIST SP 800-63B set for memorized secrets chosen by the subscriber?</t>
        </is>
      </c>
      <c r="E102" s="2" t="inlineStr">
        <is>
          <t>At least 8 characters</t>
        </is>
      </c>
      <c r="F102" s="2" t="inlineStr">
        <is>
          <t>NIST SP 800-63B requires memorized secrets chosen by the subscriber to be at least 8 characters in length [S1, S3].</t>
        </is>
      </c>
      <c r="G102" s="2" t="inlineStr">
        <is>
          <t>correct</t>
        </is>
      </c>
      <c r="H102" s="2" t="inlineStr">
        <is>
          <t>Matches the reference answer.</t>
        </is>
      </c>
      <c r="I102" s="2" t="inlineStr">
        <is>
          <t>yes</t>
        </is>
      </c>
      <c r="J102" s="2" t="inlineStr">
        <is>
          <t>A source the answer names contains the expected phrase.</t>
        </is>
      </c>
      <c r="K102" s="2" t="n">
        <v>0.0005564</v>
      </c>
    </row>
    <row r="103">
      <c r="A103" s="2" t="inlineStr">
        <is>
          <t>A3</t>
        </is>
      </c>
      <c r="B103" s="2" t="inlineStr">
        <is>
          <t>A3</t>
        </is>
      </c>
      <c r="C103" s="2" t="inlineStr">
        <is>
          <t>g2-q2</t>
        </is>
      </c>
      <c r="D103" s="2" t="inlineStr">
        <is>
          <t>Under NIST SP 800-63B, up to what length should verifiers permit subscriber-chosen memorized secrets?</t>
        </is>
      </c>
      <c r="E103" s="2" t="inlineStr">
        <is>
          <t>At least 64 characters</t>
        </is>
      </c>
      <c r="F103" s="2" t="inlineStr">
        <is>
          <t>Verifiers should permit subscriber-chosen memorized secrets to be at least 64 characters in length [S1].</t>
        </is>
      </c>
      <c r="G103" s="2" t="inlineStr">
        <is>
          <t>correct</t>
        </is>
      </c>
      <c r="H103" s="2" t="inlineStr">
        <is>
          <t>Matches the reference answer.</t>
        </is>
      </c>
      <c r="I103" s="2" t="inlineStr">
        <is>
          <t>yes</t>
        </is>
      </c>
      <c r="J103" s="2" t="inlineStr">
        <is>
          <t>A source the answer names contains the expected phrase.</t>
        </is>
      </c>
      <c r="K103" s="2" t="n">
        <v>0.0005307000000000001</v>
      </c>
    </row>
    <row r="104">
      <c r="A104" s="2" t="inlineStr">
        <is>
          <t>A3</t>
        </is>
      </c>
      <c r="B104" s="2" t="inlineStr">
        <is>
          <t>A3</t>
        </is>
      </c>
      <c r="C104" s="2" t="inlineStr">
        <is>
          <t>g3-q1</t>
        </is>
      </c>
      <c r="D104" s="2" t="inlineStr">
        <is>
          <t>According to GAO's fiscal year 2024 budget testimony, how much in financial benefits did GAO's work yield in fiscal year 2022?</t>
        </is>
      </c>
      <c r="E104" s="2" t="inlineStr">
        <is>
          <t>$55.6 billion (about $74 for every dollar invested)</t>
        </is>
      </c>
      <c r="F104" s="2" t="inlineStr">
        <is>
          <t>GAO's work yielded $55.6 billion in financial benefits in fiscal year 2022 [S1, S2].</t>
        </is>
      </c>
      <c r="G104" s="2" t="inlineStr">
        <is>
          <t>correct</t>
        </is>
      </c>
      <c r="H104" s="2" t="inlineStr">
        <is>
          <t>$55.6 billion, as the reference.</t>
        </is>
      </c>
      <c r="I104" s="2" t="inlineStr">
        <is>
          <t>yes</t>
        </is>
      </c>
      <c r="J104" s="2" t="inlineStr">
        <is>
          <t>A source the answer names contains the expected phrase.</t>
        </is>
      </c>
      <c r="K104" s="2" t="n">
        <v>0.0005967</v>
      </c>
    </row>
    <row r="105">
      <c r="A105" s="2" t="inlineStr">
        <is>
          <t>A3</t>
        </is>
      </c>
      <c r="B105" s="2" t="inlineStr">
        <is>
          <t>A3</t>
        </is>
      </c>
      <c r="C105" s="2" t="inlineStr">
        <is>
          <t>g3-q2</t>
        </is>
      </c>
      <c r="D105" s="2" t="inlineStr">
        <is>
          <t>How many GAO mandates did the James M. Inhofe National Defense Authorization Act for Fiscal Year 2023 contain, according to GAO-23-900494?</t>
        </is>
      </c>
      <c r="E105" s="2" t="inlineStr">
        <is>
          <t>158 mandates (312 estimated FTE)</t>
        </is>
      </c>
      <c r="F105" s="2" t="inlineStr">
        <is>
          <t>INSUFFICIENT_EVIDENCE. The provided text does not mention the James M. Inhofe National Defense Authorization Act for Fiscal Year 2023 or the number of GAO mandates it contained.</t>
        </is>
      </c>
      <c r="G105" s="2" t="inlineStr">
        <is>
          <t>wrong-abstain</t>
        </is>
      </c>
      <c r="H105" s="2" t="inlineStr">
        <is>
          <t>Declined; the mandates table on the Highlights page is split so the Inhofe row and its count are not in one retrieved chunk.</t>
        </is>
      </c>
      <c r="I105" s="2" t="inlineStr">
        <is>
          <t>n/a</t>
        </is>
      </c>
      <c r="J105" s="2" t="inlineStr">
        <is>
          <t>No answer to support.</t>
        </is>
      </c>
      <c r="K105" s="2" t="n">
        <v>0.0005187</v>
      </c>
    </row>
    <row r="106">
      <c r="A106" s="2" t="inlineStr">
        <is>
          <t>A3</t>
        </is>
      </c>
      <c r="B106" s="2" t="inlineStr">
        <is>
          <t>A3</t>
        </is>
      </c>
      <c r="C106" s="2" t="inlineStr">
        <is>
          <t>g4-q1</t>
        </is>
      </c>
      <c r="D106" s="2" t="inlineStr">
        <is>
          <t>Under Executive Order 9066, whom does the President authorize to prescribe military areas?</t>
        </is>
      </c>
      <c r="E106" s="2" t="inlineStr">
        <is>
          <t>The Secretary of War, and the Military Commanders he designates</t>
        </is>
      </c>
      <c r="F106" s="2" t="inlineStr">
        <is>
          <t>Under Executive Order 9066, the President authorizes the Secretary of War and any Military Commanders he designates to prescribe military areas [S1, S2].</t>
        </is>
      </c>
      <c r="G106" s="2" t="inlineStr">
        <is>
          <t>correct</t>
        </is>
      </c>
      <c r="H106" s="2" t="inlineStr">
        <is>
          <t>The Secretary of War and designated Military Commanders.</t>
        </is>
      </c>
      <c r="I106" s="2" t="inlineStr">
        <is>
          <t>yes</t>
        </is>
      </c>
      <c r="J106" s="2" t="inlineStr">
        <is>
          <t>The cited OCR text has it as 'Secretary of Wer ... Military Comendors'; the 500x776 scan reads with many character errors.</t>
        </is>
      </c>
      <c r="K106" s="2" t="n">
        <v>0.0005652</v>
      </c>
    </row>
    <row r="107">
      <c r="A107" s="2" t="inlineStr">
        <is>
          <t>A3</t>
        </is>
      </c>
      <c r="B107" s="2" t="inlineStr">
        <is>
          <t>A3</t>
        </is>
      </c>
      <c r="C107" s="2" t="inlineStr">
        <is>
          <t>g4-q2</t>
        </is>
      </c>
      <c r="D107" s="2" t="inlineStr">
        <is>
          <t>Which earlier act, by date, does Executive Order 9066 cite first as defining national-defense material, premises and utilities?</t>
        </is>
      </c>
      <c r="E107" s="2" t="inlineStr">
        <is>
          <t>Section 4 of the Act of April 20, 1918 (40 Stat. 533), as amended</t>
        </is>
      </c>
      <c r="F107" s="2" t="inlineStr">
        <is>
          <t>Executive Order 9066 first cites the Act of April 20, 1918, 40 Stat. 533, as defining national-defense material, premises, and utilities [S1].</t>
        </is>
      </c>
      <c r="G107" s="2" t="inlineStr">
        <is>
          <t>correct</t>
        </is>
      </c>
      <c r="H107" s="2" t="inlineStr">
        <is>
          <t>Act of April 20, 1918, 40 Stat. 533.</t>
        </is>
      </c>
      <c r="I107" s="2" t="inlineStr">
        <is>
          <t>yes</t>
        </is>
      </c>
      <c r="J107" s="2" t="inlineStr">
        <is>
          <t>A source the answer names contains the expected phrase.</t>
        </is>
      </c>
      <c r="K107" s="2" t="n">
        <v>0.0008088</v>
      </c>
    </row>
    <row r="108">
      <c r="A108" s="2" t="inlineStr">
        <is>
          <t>A3</t>
        </is>
      </c>
      <c r="B108" s="2" t="inlineStr">
        <is>
          <t>A3</t>
        </is>
      </c>
      <c r="C108" s="2" t="inlineStr">
        <is>
          <t>g5-q1</t>
        </is>
      </c>
      <c r="D108" s="2" t="inlineStr">
        <is>
          <t>According to the NISRA Labour Force Survey tables for October to December 2023, what percentage of females working part time did not want a full-time job?</t>
        </is>
      </c>
      <c r="E108" s="2" t="inlineStr">
        <is>
          <t>73.3%</t>
        </is>
      </c>
      <c r="F108" s="2" t="inlineStr">
        <is>
          <t>73.3% of females working part-time did not want a full-time job [S1].</t>
        </is>
      </c>
      <c r="G108" s="2" t="inlineStr">
        <is>
          <t>correct</t>
        </is>
      </c>
      <c r="H108" s="2" t="inlineStr">
        <is>
          <t>73.3%, from the spreadsheet table.</t>
        </is>
      </c>
      <c r="I108" s="2" t="inlineStr">
        <is>
          <t>yes</t>
        </is>
      </c>
      <c r="J108" s="2" t="inlineStr">
        <is>
          <t>A source the answer names contains the expected phrase.</t>
        </is>
      </c>
      <c r="K108" s="2" t="n">
        <v>0.0007952</v>
      </c>
    </row>
    <row r="109">
      <c r="A109" s="2" t="inlineStr">
        <is>
          <t>A3</t>
        </is>
      </c>
      <c r="B109" s="2" t="inlineStr">
        <is>
          <t>A3</t>
        </is>
      </c>
      <c r="C109" s="2" t="inlineStr">
        <is>
          <t>g5-q2</t>
        </is>
      </c>
      <c r="D109" s="2" t="inlineStr">
        <is>
          <t>What was the economic inactivity rate for all persons aged 16 to 64 in October to December 2023 in the NISRA Labour Force Survey tables?</t>
        </is>
      </c>
      <c r="E109" s="2" t="inlineStr">
        <is>
          <t>26.9%</t>
        </is>
      </c>
      <c r="F109" s="2" t="inlineStr">
        <is>
          <t>The economic inactivity rate for all persons aged 16 to 64 in October to December 2023 was 26.9% [S3].</t>
        </is>
      </c>
      <c r="G109" s="2" t="inlineStr">
        <is>
          <t>correct</t>
        </is>
      </c>
      <c r="H109" s="2" t="inlineStr">
        <is>
          <t>26.9%, from the spreadsheet table.</t>
        </is>
      </c>
      <c r="I109" s="2" t="inlineStr">
        <is>
          <t>yes</t>
        </is>
      </c>
      <c r="J109" s="2" t="inlineStr">
        <is>
          <t>A source the answer names contains the expected phrase.</t>
        </is>
      </c>
      <c r="K109" s="2" t="n">
        <v>0.0009095</v>
      </c>
    </row>
    <row r="110">
      <c r="A110" s="2" t="inlineStr">
        <is>
          <t>A3</t>
        </is>
      </c>
      <c r="B110" s="2" t="inlineStr">
        <is>
          <t>A3</t>
        </is>
      </c>
      <c r="C110" s="2" t="inlineStr">
        <is>
          <t>g6-q1</t>
        </is>
      </c>
      <c r="D110" s="2" t="inlineStr">
        <is>
          <t>Who was the Chief Executive of ECGD in its September 2012 organisation chart?</t>
        </is>
      </c>
      <c r="E110" s="2" t="inlineStr">
        <is>
          <t>Patrick Crawford</t>
        </is>
      </c>
      <c r="F110" s="2" t="inlineStr">
        <is>
          <t>Patrick Crawford was the Chief Executive of ECGD in its September 2012 organisation chart [S4].</t>
        </is>
      </c>
      <c r="G110" s="2" t="inlineStr">
        <is>
          <t>correct</t>
        </is>
      </c>
      <c r="H110" s="2" t="inlineStr">
        <is>
          <t>Patrick Crawford, from the slide.</t>
        </is>
      </c>
      <c r="I110" s="2" t="inlineStr">
        <is>
          <t>yes</t>
        </is>
      </c>
      <c r="J110" s="2" t="inlineStr">
        <is>
          <t>A source the answer names contains the expected phrase.</t>
        </is>
      </c>
      <c r="K110" s="2" t="n">
        <v>0.0007958</v>
      </c>
    </row>
    <row r="111">
      <c r="A111" s="2" t="inlineStr">
        <is>
          <t>A3</t>
        </is>
      </c>
      <c r="B111" s="2" t="inlineStr">
        <is>
          <t>A3</t>
        </is>
      </c>
      <c r="C111" s="2" t="inlineStr">
        <is>
          <t>g6-q2</t>
        </is>
      </c>
      <c r="D111" s="2" t="inlineStr">
        <is>
          <t>What was the pay range for ECGD Pay Band 07 (SEO) in September 2012?</t>
        </is>
      </c>
      <c r="E111" s="2" t="inlineStr">
        <is>
          <t>£36,300 to £43,690</t>
        </is>
      </c>
      <c r="F111" s="2" t="inlineStr">
        <is>
          <t>The pay range for ECGD Pay Band 07 (SEO) in September 2012 was £36,300 to £43,690 [S1].</t>
        </is>
      </c>
      <c r="G111" s="2" t="inlineStr">
        <is>
          <t>correct</t>
        </is>
      </c>
      <c r="H111" s="2" t="inlineStr">
        <is>
          <t>£36,300 to £43,690, from the slide.</t>
        </is>
      </c>
      <c r="I111" s="2" t="inlineStr">
        <is>
          <t>yes</t>
        </is>
      </c>
      <c r="J111" s="2" t="inlineStr">
        <is>
          <t>A source the answer names contains the expected phrase.</t>
        </is>
      </c>
      <c r="K111" s="2" t="n">
        <v>0.0008318000000000001</v>
      </c>
    </row>
    <row r="112">
      <c r="A112" s="2" t="inlineStr">
        <is>
          <t>A3</t>
        </is>
      </c>
      <c r="B112" s="2" t="inlineStr">
        <is>
          <t>A3</t>
        </is>
      </c>
      <c r="C112" s="2" t="inlineStr">
        <is>
          <t>g7-q1</t>
        </is>
      </c>
      <c r="D112" s="2" t="inlineStr">
        <is>
          <t>In the DfE information sharing agreement template, covering how many years before the application must childminder agencies check where a provider has lived?</t>
        </is>
      </c>
      <c r="E112" s="2" t="inlineStr">
        <is>
          <t>The 5 years before the application</t>
        </is>
      </c>
      <c r="F112" s="2" t="inlineStr">
        <is>
          <t>Childminder agencies must check where a provider has lived for the 5 years prior to making their application for registration [S1, S2].</t>
        </is>
      </c>
      <c r="G112" s="2" t="inlineStr">
        <is>
          <t>correct</t>
        </is>
      </c>
      <c r="H112" s="2" t="inlineStr">
        <is>
          <t>The 5 years before the application.</t>
        </is>
      </c>
      <c r="I112" s="2" t="inlineStr">
        <is>
          <t>yes</t>
        </is>
      </c>
      <c r="J112" s="2" t="inlineStr">
        <is>
          <t>A source the answer names contains the expected phrase.</t>
        </is>
      </c>
      <c r="K112" s="2" t="n">
        <v>0.0005115</v>
      </c>
    </row>
    <row r="113">
      <c r="A113" s="2" t="inlineStr">
        <is>
          <t>A3</t>
        </is>
      </c>
      <c r="B113" s="2" t="inlineStr">
        <is>
          <t>A3</t>
        </is>
      </c>
      <c r="C113" s="2" t="inlineStr">
        <is>
          <t>g7-q2</t>
        </is>
      </c>
      <c r="D113" s="2" t="inlineStr">
        <is>
          <t>Which data protection laws does the childminder information sharing agreement template say agencies and local authorities must understand?</t>
        </is>
      </c>
      <c r="E113" s="2" t="inlineStr">
        <is>
          <t>UK GDPR, the Data Protection Act 2018 and, where applicable, the Freedom of Information Act 2000</t>
        </is>
      </c>
      <c r="F113" s="2" t="inlineStr">
        <is>
          <t>Childminder agencies and local authorities must understand their responsibilities under UK data protection laws, including the UK General Data Protection Regulations (UK GDPR), the Data Protection Act 2018, and, where applicable, the Freedom of Information Act 2000 [S1].</t>
        </is>
      </c>
      <c r="G113" s="2" t="inlineStr">
        <is>
          <t>correct</t>
        </is>
      </c>
      <c r="H113" s="2" t="inlineStr">
        <is>
          <t>UK GDPR, DPA 2018 and FOI Act 2000.</t>
        </is>
      </c>
      <c r="I113" s="2" t="inlineStr">
        <is>
          <t>yes</t>
        </is>
      </c>
      <c r="J113" s="2" t="inlineStr">
        <is>
          <t>A source the answer names contains the expected phrase.</t>
        </is>
      </c>
      <c r="K113" s="2" t="n">
        <v>0.0005815</v>
      </c>
    </row>
    <row r="114">
      <c r="A114" s="2" t="inlineStr">
        <is>
          <t>A3</t>
        </is>
      </c>
      <c r="B114" s="2" t="inlineStr">
        <is>
          <t>A3</t>
        </is>
      </c>
      <c r="C114" s="2" t="inlineStr">
        <is>
          <t>g8-q1</t>
        </is>
      </c>
      <c r="D114" s="2" t="inlineStr">
        <is>
          <t>How many participants took part in the driving simulator study (study 1) of the PLOS ONE paper on sex differences in driving speed?</t>
        </is>
      </c>
      <c r="E114" s="2" t="inlineStr">
        <is>
          <t>41</t>
        </is>
      </c>
      <c r="F114" s="2" t="inlineStr">
        <is>
          <t>Forty-one participants took part in the driving simulator study (study 1) [S1].</t>
        </is>
      </c>
      <c r="G114" s="2" t="inlineStr">
        <is>
          <t>correct</t>
        </is>
      </c>
      <c r="H114" s="2" t="inlineStr">
        <is>
          <t>Forty-one participants.</t>
        </is>
      </c>
      <c r="I114" s="2" t="inlineStr">
        <is>
          <t>yes</t>
        </is>
      </c>
      <c r="J114" s="2" t="inlineStr">
        <is>
          <t>The cited chunk says 'Forty-one participants'; the reference phrase was 'N = 41'.</t>
        </is>
      </c>
      <c r="K114" s="2" t="n">
        <v>0.0005549</v>
      </c>
    </row>
    <row r="115">
      <c r="A115" s="2" t="inlineStr">
        <is>
          <t>A3</t>
        </is>
      </c>
      <c r="B115" s="2" t="inlineStr">
        <is>
          <t>A3</t>
        </is>
      </c>
      <c r="C115" s="2" t="inlineStr">
        <is>
          <t>g8-q2</t>
        </is>
      </c>
      <c r="D115" s="2" t="inlineStr">
        <is>
          <t>In the PLOS ONE driving-speed paper, what partly mediates the relationship between sex and driving speed?</t>
        </is>
      </c>
      <c r="E115" s="2" t="inlineStr">
        <is>
          <t>Impulse control (a partial mediating role)</t>
        </is>
      </c>
      <c r="F115" s="2" t="inlineStr">
        <is>
          <t>Impulse control partly mediates the relationship between sex and driving speed [S4].</t>
        </is>
      </c>
      <c r="G115" s="2" t="inlineStr">
        <is>
          <t>correct</t>
        </is>
      </c>
      <c r="H115" s="2" t="inlineStr">
        <is>
          <t>Impulse control partly mediates the relationship.</t>
        </is>
      </c>
      <c r="I115" s="2" t="inlineStr">
        <is>
          <t>yes</t>
        </is>
      </c>
      <c r="J115" s="2" t="inlineStr">
        <is>
          <t>The cited Figure 3 caption describes mediation by impulse control.</t>
        </is>
      </c>
      <c r="K115" s="2" t="n">
        <v>0.0005314</v>
      </c>
    </row>
    <row r="116">
      <c r="A116" s="2" t="inlineStr">
        <is>
          <t>A3</t>
        </is>
      </c>
      <c r="B116" s="2" t="inlineStr">
        <is>
          <t>A3</t>
        </is>
      </c>
      <c r="C116" s="2" t="inlineStr">
        <is>
          <t>g6-q3</t>
        </is>
      </c>
      <c r="D116" s="2" t="inlineStr">
        <is>
          <t>What was the ECGD Chief Executive's salary in 2015?</t>
        </is>
      </c>
      <c r="E116" s="2" t="inlineStr">
        <is>
          <t>Not stated in the source (the chart is as at 30 September 2012).</t>
        </is>
      </c>
      <c r="F116" s="2" t="inlineStr">
        <is>
          <t>INSUFFICIENT_EVIDENCE. The provided documents show the ECGD Chief Executive's salary as of September 30, 2012, but do not contain information for 2015 [S1, S2, S3, S4].</t>
        </is>
      </c>
      <c r="G116" s="2" t="inlineStr">
        <is>
          <t>correct-abstain</t>
        </is>
      </c>
      <c r="H116" s="2" t="inlineStr">
        <is>
          <t>Declined; only 2012 is in the source.</t>
        </is>
      </c>
      <c r="I116" s="2" t="inlineStr">
        <is>
          <t>n/a</t>
        </is>
      </c>
      <c r="J116" s="2" t="inlineStr">
        <is>
          <t>No answer to support.</t>
        </is>
      </c>
      <c r="K116" s="2" t="n">
        <v>0.0008085</v>
      </c>
    </row>
    <row r="117">
      <c r="A117" s="2" t="inlineStr">
        <is>
          <t>A3</t>
        </is>
      </c>
      <c r="B117" s="2" t="inlineStr">
        <is>
          <t>A3</t>
        </is>
      </c>
      <c r="C117" s="2" t="inlineStr">
        <is>
          <t>g8-q3</t>
        </is>
      </c>
      <c r="D117" s="2" t="inlineStr">
        <is>
          <t>How many participants in the PLOS ONE driving-speed study lived in Beijing?</t>
        </is>
      </c>
      <c r="E117" s="2" t="inlineStr">
        <is>
          <t>Not stated in the source.</t>
        </is>
      </c>
      <c r="F117" s="2" t="inlineStr">
        <is>
          <t>INSUFFICIENT_EVIDENCE. The provided text states that participants were recruited from Liaoning Normal University [S1], but it does not mention how many, if any, lived in Beijing.</t>
        </is>
      </c>
      <c r="G117" s="2" t="inlineStr">
        <is>
          <t>correct-abstain</t>
        </is>
      </c>
      <c r="H117" s="2" t="inlineStr">
        <is>
          <t>Declined; not in the source.</t>
        </is>
      </c>
      <c r="I117" s="2" t="inlineStr">
        <is>
          <t>n/a</t>
        </is>
      </c>
      <c r="J117" s="2" t="inlineStr">
        <is>
          <t>No answer to support.</t>
        </is>
      </c>
      <c r="K117" s="2" t="n">
        <v>0.0006049</v>
      </c>
    </row>
    <row r="118">
      <c r="A118" s="2" t="inlineStr">
        <is>
          <t>A3</t>
        </is>
      </c>
      <c r="B118" s="2" t="inlineStr">
        <is>
          <t>A3</t>
        </is>
      </c>
      <c r="C118" s="2" t="inlineStr">
        <is>
          <t>g2-q3</t>
        </is>
      </c>
      <c r="D118" s="2" t="inlineStr">
        <is>
          <t>What does NIST SP 800-63B require for retina scanners at AAL3 in hospitals?</t>
        </is>
      </c>
      <c r="E118" s="2" t="inlineStr">
        <is>
          <t>Not stated in the source.</t>
        </is>
      </c>
      <c r="F118" s="2" t="inlineStr">
        <is>
          <t>INSUFFICIENT_EVIDENCE. The provided text does not specify requirements for retina scanners, nor does it mention hospitals. It only states general requirements for biometric factors at AAL3 [S1].</t>
        </is>
      </c>
      <c r="G118" s="2" t="inlineStr">
        <is>
          <t>correct-abstain</t>
        </is>
      </c>
      <c r="H118" s="2" t="inlineStr">
        <is>
          <t>Declined; not in the source.</t>
        </is>
      </c>
      <c r="I118" s="2" t="inlineStr">
        <is>
          <t>n/a</t>
        </is>
      </c>
      <c r="J118" s="2" t="inlineStr">
        <is>
          <t>No answer to support.</t>
        </is>
      </c>
      <c r="K118" s="2" t="n">
        <v>0.0004691</v>
      </c>
    </row>
    <row r="119">
      <c r="A119" s="2" t="n"/>
      <c r="B119" s="2" t="n"/>
      <c r="C119" s="2" t="n"/>
      <c r="D119" s="2" t="n"/>
      <c r="E119" s="2" t="n"/>
      <c r="F119" s="2" t="n"/>
      <c r="G119" s="2" t="n"/>
      <c r="H119" s="2" t="n"/>
      <c r="I119" s="2" t="n"/>
      <c r="J119" s="2" t="n"/>
      <c r="K119" s="2" t="n"/>
    </row>
    <row r="120">
      <c r="A120" s="2" t="inlineStr">
        <is>
          <t>Total answer cost (USD)</t>
        </is>
      </c>
      <c r="B120" s="2" t="inlineStr"/>
      <c r="C120" s="2" t="inlineStr"/>
      <c r="D120" s="2" t="inlineStr"/>
      <c r="E120" s="2" t="inlineStr"/>
      <c r="F120" s="2" t="inlineStr"/>
      <c r="G120" s="2" t="inlineStr"/>
      <c r="H120" s="2" t="inlineStr"/>
      <c r="I120" s="2" t="inlineStr"/>
      <c r="J120" s="2" t="inlineStr"/>
      <c r="K120" s="2">
        <f>SUM(K2:K118)</f>
        <v/>
      </c>
    </row>
    <row r="121">
      <c r="A121" s="3" t="inlineStr">
        <is>
          <t>Labels: correct, correct-abstain, partial, wrong, wrong-abstain. Scored blind by Claude with the spec 0004 rubric; rounds were hidden as X/Y. A1 (after the fixes) and A2 (extractor v4) were scored with the same rubric against the references, not blind.</t>
        </is>
      </c>
      <c r="B121" s="2" t="n"/>
      <c r="C121" s="2" t="n"/>
      <c r="D121" s="2" t="n"/>
      <c r="E121" s="2" t="n"/>
      <c r="F121" s="2" t="n"/>
      <c r="G121" s="2" t="n"/>
      <c r="H121" s="2" t="n"/>
      <c r="I121" s="2" t="n"/>
      <c r="J121" s="2" t="n"/>
      <c r="K121"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 width="12" customWidth="1" min="4" max="4"/>
    <col width="60" customWidth="1" min="5" max="5"/>
    <col width="16" customWidth="1" min="6" max="6"/>
    <col width="50" customWidth="1" min="7" max="7"/>
  </cols>
  <sheetData>
    <row r="1">
      <c r="A1" s="4" t="inlineStr">
        <is>
          <t>Setting</t>
        </is>
      </c>
      <c r="B1" s="4" t="inlineStr">
        <is>
          <t>Where it shows</t>
        </is>
      </c>
      <c r="C1" s="4" t="inlineStr">
        <is>
          <t>Default</t>
        </is>
      </c>
      <c r="D1" s="4" t="inlineStr">
        <is>
          <t>Tested in</t>
        </is>
      </c>
      <c r="E1" s="4" t="inlineStr">
        <is>
          <t>Measured effect</t>
        </is>
      </c>
      <c r="F1" s="4" t="inlineStr">
        <is>
          <t>Verdict</t>
        </is>
      </c>
      <c r="G1" s="4" t="inlineStr">
        <is>
          <t>Recommendation</t>
        </is>
      </c>
    </row>
    <row r="2">
      <c r="A2" s="2" t="inlineStr">
        <is>
          <t>If a file can't be read well</t>
        </is>
      </c>
      <c r="B2" s="2" t="inlineStr">
        <is>
          <t>Extract panel (visible)</t>
        </is>
      </c>
      <c r="C2" s="2" t="inlineStr">
        <is>
          <t>Stop and let me review (Balanced)</t>
        </is>
      </c>
      <c r="D2" s="2" t="inlineStr">
        <is>
          <t>R1 vs R1w, R3b, R5</t>
        </is>
      </c>
      <c r="E2" s="2" t="inlineStr">
        <is>
          <t>The default blocked the whole files run in R1 because one ordinary government PDF (Census P60-279) was flagged for malformed tables. 'Publish the other files and show warnings' published it with warnings (R1w), but it does not publish the others when a required file cannot be read at all: R3b (OCR off) still failed the whole run. On websites (R5) it changed nothing because no page failed.</t>
        </is>
      </c>
      <c r="F2" s="2" t="inlineStr">
        <is>
          <t>Keep visible</t>
        </is>
      </c>
      <c r="G2" s="2" t="inlineStr">
        <is>
          <t>Keep the choice, but fix what it does: 'publish the others' should exclude any unreadable file, not only files marked optional (finding X3). Reconsider the default once X1 and X2 are fixed.</t>
        </is>
      </c>
    </row>
    <row r="3">
      <c r="A3" s="2" t="inlineStr">
        <is>
          <t>Read scanned pages (OCR)</t>
        </is>
      </c>
      <c r="B3" s="2" t="inlineStr">
        <is>
          <t>Extract panel (visible)</t>
        </is>
      </c>
      <c r="C3" s="2" t="inlineStr">
        <is>
          <t>On</t>
        </is>
      </c>
      <c r="D3" s="2" t="inlineStr">
        <is>
          <t>R3b</t>
        </is>
      </c>
      <c r="E3" s="2" t="inlineStr">
        <is>
          <t>Turning it off made the scanned report unreadable and failed the whole files run (and every scan question). Leaving it on costs nothing for text PDFs: OCR ran only on the image-only pages.</t>
        </is>
      </c>
      <c r="F3" s="2" t="inlineStr">
        <is>
          <t>Candidate to remove</t>
        </is>
      </c>
      <c r="G3" s="2" t="inlineStr">
        <is>
          <t>Always run OCR when the server supports it; show a note only when OCR is unavailable.</t>
        </is>
      </c>
    </row>
    <row r="4">
      <c r="A4" s="2" t="inlineStr">
        <is>
          <t>Languages in scanned pages</t>
        </is>
      </c>
      <c r="B4" s="2" t="inlineStr">
        <is>
          <t>Extract panel (visible when OCR is on)</t>
        </is>
      </c>
      <c r="C4" s="2" t="inlineStr">
        <is>
          <t>eng</t>
        </is>
      </c>
      <c r="D4" s="2" t="inlineStr">
        <is>
          <t>Not tested</t>
        </is>
      </c>
      <c r="E4" s="2" t="inlineStr">
        <is>
          <t>Only English sources and the English language pack were used.</t>
        </is>
      </c>
      <c r="F4" s="2" t="inlineStr">
        <is>
          <t>Keep visible</t>
        </is>
      </c>
      <c r="G4" s="2" t="inlineStr">
        <is>
          <t>Keep; it matters for non-English scans. Test with a non-English scan before changing it.</t>
        </is>
      </c>
    </row>
    <row r="5">
      <c r="A5" s="2" t="inlineStr">
        <is>
          <t>Extractor version (v1 / v2)</t>
        </is>
      </c>
      <c r="B5" s="2" t="inlineStr">
        <is>
          <t>Upgrade callout only</t>
        </is>
      </c>
      <c r="C5" s="2" t="inlineStr">
        <is>
          <t>layout-ocr-v2</t>
        </is>
      </c>
      <c r="D5" s="2" t="inlineStr">
        <is>
          <t>R2</t>
        </is>
      </c>
      <c r="E5" s="2" t="inlineStr">
        <is>
          <t>Retrieval on the three files: Hit@5 16/19 with v1 vs 17/19 with v2 (v1 lost the scan's luminance-range question; both miss the same two Census table questions), Hit@1 8 vs 9. Answers: identical on the 8 file questions (6 correct, 1 correct-abstain, 1 wrong-abstain each). v2 also keeps headings and section paths that v1 does not.</t>
        </is>
      </c>
      <c r="F5" s="2" t="inlineStr">
        <is>
          <t>Keep in Advanced</t>
        </is>
      </c>
      <c r="G5" s="2" t="inlineStr">
        <is>
          <t>Keep v2 as the default and the upgrade as the only control; no new user setting.</t>
        </is>
      </c>
    </row>
    <row r="6">
      <c r="A6" s="2" t="inlineStr">
        <is>
          <t>OCR resolution (DPI)</t>
        </is>
      </c>
      <c r="B6" s="2" t="inlineStr">
        <is>
          <t>Advanced</t>
        </is>
      </c>
      <c r="C6" s="2" t="inlineStr">
        <is>
          <t>200</t>
        </is>
      </c>
      <c r="D6" s="2" t="inlineStr">
        <is>
          <t>R3a (300)</t>
        </is>
      </c>
      <c r="E6" s="2" t="inlineStr">
        <is>
          <t>No change in any retrieval result, structure or answer on the scanned report.</t>
        </is>
      </c>
      <c r="F6" s="2" t="inlineStr">
        <is>
          <t>Candidate to remove</t>
        </is>
      </c>
      <c r="G6" s="2" t="inlineStr">
        <is>
          <t>Fix at 200 DPI; revisit only if a real low-quality scan shows a difference.</t>
        </is>
      </c>
    </row>
    <row r="7">
      <c r="A7" s="2" t="inlineStr">
        <is>
          <t>Maximum OCR pages</t>
        </is>
      </c>
      <c r="B7" s="2" t="inlineStr">
        <is>
          <t>Advanced</t>
        </is>
      </c>
      <c r="C7" s="2" t="inlineStr">
        <is>
          <t>50</t>
        </is>
      </c>
      <c r="D7" s="2" t="inlineStr">
        <is>
          <t>R3a (100)</t>
        </is>
      </c>
      <c r="E7" s="2" t="inlineStr">
        <is>
          <t>No change: the scan had 10 pages. It only matters for scans longer than 50 pages, where the default would fail the file.</t>
        </is>
      </c>
      <c r="F7" s="2" t="inlineStr">
        <is>
          <t>Keep in Advanced</t>
        </is>
      </c>
      <c r="G7" s="2" t="inlineStr">
        <is>
          <t>Raise the default to the server maximum (100) and keep it in Advanced.</t>
        </is>
      </c>
    </row>
    <row r="8">
      <c r="A8" s="2" t="inlineStr">
        <is>
          <t>Per-page OCR timeout</t>
        </is>
      </c>
      <c r="B8" s="2" t="inlineStr">
        <is>
          <t>Advanced</t>
        </is>
      </c>
      <c r="C8" s="2" t="inlineStr">
        <is>
          <t>30 s</t>
        </is>
      </c>
      <c r="D8" s="2" t="inlineStr">
        <is>
          <t>Not changed</t>
        </is>
      </c>
      <c r="E8" s="2" t="inlineStr">
        <is>
          <t>No page came close: OCR took about 1-2 s per page.</t>
        </is>
      </c>
      <c r="F8" s="2" t="inlineStr">
        <is>
          <t>Candidate to remove</t>
        </is>
      </c>
      <c r="G8" s="2" t="inlineStr">
        <is>
          <t>Keep as a fixed server safety limit, not a user setting.</t>
        </is>
      </c>
    </row>
    <row r="9">
      <c r="A9" s="2" t="inlineStr">
        <is>
          <t>Detect rotation / deskew</t>
        </is>
      </c>
      <c r="B9" s="2" t="inlineStr">
        <is>
          <t>Advanced</t>
        </is>
      </c>
      <c r="C9" s="2" t="inlineStr">
        <is>
          <t>On</t>
        </is>
      </c>
      <c r="D9" s="2" t="inlineStr">
        <is>
          <t>Not changed</t>
        </is>
      </c>
      <c r="E9" s="2" t="inlineStr">
        <is>
          <t>The real scan was upright; earlier synthetic tests showed rotation is needed for sideways scans and costs little.</t>
        </is>
      </c>
      <c r="F9" s="2" t="inlineStr">
        <is>
          <t>Candidate to remove</t>
        </is>
      </c>
      <c r="G9" s="2" t="inlineStr">
        <is>
          <t>Always on.</t>
        </is>
      </c>
    </row>
    <row r="10">
      <c r="A10" s="2" t="inlineStr">
        <is>
          <t>Extraction strategy (Auto / Native / Layout-aware)</t>
        </is>
      </c>
      <c r="B10" s="2" t="inlineStr">
        <is>
          <t>Advanced</t>
        </is>
      </c>
      <c r="C10" s="2" t="inlineStr">
        <is>
          <t>Auto</t>
        </is>
      </c>
      <c r="D10" s="2" t="inlineStr">
        <is>
          <t>Not changed</t>
        </is>
      </c>
      <c r="E10" s="2" t="inlineStr">
        <is>
          <t>Auto handled the two-column paper, the report and the scan; Auto picked layout analysis on every text page.</t>
        </is>
      </c>
      <c r="F10" s="2" t="inlineStr">
        <is>
          <t>Candidate to remove</t>
        </is>
      </c>
      <c r="G10" s="2" t="inlineStr">
        <is>
          <t>Fix at Auto.</t>
        </is>
      </c>
    </row>
    <row r="11">
      <c r="A11" s="2" t="inlineStr">
        <is>
          <t>Table evidence (Structured + Markdown / Markdown / Plain text)</t>
        </is>
      </c>
      <c r="B11" s="2" t="inlineStr">
        <is>
          <t>Advanced</t>
        </is>
      </c>
      <c r="C11" s="2" t="inlineStr">
        <is>
          <t>Structured + Markdown</t>
        </is>
      </c>
      <c r="D11" s="2" t="inlineStr">
        <is>
          <t>R4 (plain text)</t>
        </is>
      </c>
      <c r="E11" s="2" t="inlineStr">
        <is>
          <t>No change in any retrieval result (Hit@1 24, Hit@5 42 both); 684 vs 718 chunks. It does not apply to websites.</t>
        </is>
      </c>
      <c r="F11" s="2" t="inlineStr">
        <is>
          <t>Candidate to remove</t>
        </is>
      </c>
      <c r="G11" s="2" t="inlineStr">
        <is>
          <t>Fix at Structured + Markdown.</t>
        </is>
      </c>
    </row>
    <row r="12">
      <c r="A12" s="2" t="inlineStr">
        <is>
          <t>Quality thresholds (empty pages, characters, OCR confidence, reading order, malformed tables)</t>
        </is>
      </c>
      <c r="B12" s="2" t="inlineStr">
        <is>
          <t>Advanced</t>
        </is>
      </c>
      <c r="C12" s="2" t="inlineStr">
        <is>
          <t>Balanced preset</t>
        </is>
      </c>
      <c r="D12" s="2" t="inlineStr">
        <is>
          <t>Indirectly (R1)</t>
        </is>
      </c>
      <c r="E12" s="2" t="inlineStr">
        <is>
          <t>'Fail on malformed tables' is what blocked the Census report; 'suspicious reading order' only warned on the BERT paper and the report.</t>
        </is>
      </c>
      <c r="F12" s="2" t="inlineStr">
        <is>
          <t>Keep in Advanced</t>
        </is>
      </c>
      <c r="G12" s="2" t="inlineStr">
        <is>
          <t>Keep for experts; make the malformed-table check warn, not fail, until X2 is fixed.</t>
        </is>
      </c>
    </row>
    <row r="13">
      <c r="A13" s="2" t="inlineStr">
        <is>
          <t>Language policy (allowlist, confidence, mixed languages)</t>
        </is>
      </c>
      <c r="B13" s="2" t="inlineStr">
        <is>
          <t>Advanced</t>
        </is>
      </c>
      <c r="C13" s="2" t="inlineStr">
        <is>
          <t>No restriction; mixed languages warn</t>
        </is>
      </c>
      <c r="D13" s="2" t="inlineStr">
        <is>
          <t>Not changed</t>
        </is>
      </c>
      <c r="E13" s="2" t="inlineStr">
        <is>
          <t>All sources were English; no language findings.</t>
        </is>
      </c>
      <c r="F13" s="2" t="inlineStr">
        <is>
          <t>Keep in Advanced</t>
        </is>
      </c>
      <c r="G13" s="2" t="inlineStr">
        <is>
          <t>Keep in Advanced.</t>
        </is>
      </c>
    </row>
    <row r="14">
      <c r="A14" s="2" t="inlineStr">
        <is>
          <t>Chunk size (target / maximum / overlap)</t>
        </is>
      </c>
      <c r="B14" s="2" t="inlineStr">
        <is>
          <t>Chunk stage</t>
        </is>
      </c>
      <c r="C14" s="2" t="inlineStr">
        <is>
          <t>600 / 800 / 80</t>
        </is>
      </c>
      <c r="D14" s="2" t="inlineStr">
        <is>
          <t>R6 (300 / 400 / 40)</t>
        </is>
      </c>
      <c r="E14" s="2" t="inlineStr">
        <is>
          <t>The only setting that moved results both ways: Hit@1 26 vs 24 and Hit@5 42 vs 42 overall; MDN improved (Hit@5 6 to 7, Hit@1 4 to 6), the scan improved at rank 1, two Wikipedia questions were gained and two lost, one BERT question was lost. Doubles the chunks and the embedding cost.</t>
        </is>
      </c>
      <c r="F14" s="2" t="inlineStr">
        <is>
          <t>Keep visible</t>
        </is>
      </c>
      <c r="G14" s="2" t="inlineStr">
        <is>
          <t>Keep 600 / 800 / 80 as the default and keep chunk size visible in the Chunk stage.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46" customWidth="1" min="3" max="3"/>
    <col width="52" customWidth="1" min="4" max="4"/>
    <col width="42" customWidth="1" min="5" max="5"/>
    <col width="40" customWidth="1" min="6" max="6"/>
    <col width="14" customWidth="1" min="7" max="7"/>
    <col width="60" customWidth="1" min="8" max="8"/>
  </cols>
  <sheetData>
    <row r="1">
      <c r="A1" s="4" t="inlineStr">
        <is>
          <t>ID</t>
        </is>
      </c>
      <c r="B1" s="4" t="inlineStr">
        <is>
          <t>Severity</t>
        </is>
      </c>
      <c r="C1" s="4" t="inlineStr">
        <is>
          <t>Finding</t>
        </is>
      </c>
      <c r="D1" s="4" t="inlineStr">
        <is>
          <t>Evidence</t>
        </is>
      </c>
      <c r="E1" s="4" t="inlineStr">
        <is>
          <t>Impact on users</t>
        </is>
      </c>
      <c r="F1" s="4" t="inlineStr">
        <is>
          <t>Next step</t>
        </is>
      </c>
      <c r="G1" s="4" t="inlineStr">
        <is>
          <t>After fixes (spec 0007)</t>
        </is>
      </c>
      <c r="H1" s="4" t="inlineStr">
        <is>
          <t>After-fixes evidence</t>
        </is>
      </c>
    </row>
    <row r="2">
      <c r="A2" s="2" t="inlineStr">
        <is>
          <t>X1</t>
        </is>
      </c>
      <c r="B2" s="2" t="inlineStr">
        <is>
          <t>High</t>
        </is>
      </c>
      <c r="C2" s="2" t="inlineStr">
        <is>
          <t>The recommended setting ('Stop and let me review') blocks an ordinary government report.</t>
        </is>
      </c>
      <c r="D2" s="2" t="inlineStr">
        <is>
          <t>R1 files run failed: Census P60-279 was flagged malformed_tables (19 tables) under the Balanced policy, so no file index was published. The free preview showed the same before any paid step.</t>
        </is>
      </c>
      <c r="E2" s="2" t="inlineStr">
        <is>
          <t>A user who uploads a normal statistical report with the defaults gets no index at all and must change a setting they do not understand.</t>
        </is>
      </c>
      <c r="F2" s="2" t="inlineStr">
        <is>
          <t>Fix X2; until then make malformed tables a warning in Balanced.</t>
        </is>
      </c>
      <c r="G2" s="2" t="inlineStr">
        <is>
          <t>Fixed</t>
        </is>
      </c>
      <c r="H2" s="2" t="inlineStr">
        <is>
          <t>A1 files run with 'Stop and let me review' published all three files; the Census report is no longer blocked (layout-ocr-v3).</t>
        </is>
      </c>
    </row>
    <row r="3">
      <c r="A3" s="2" t="inlineStr">
        <is>
          <t>X2</t>
        </is>
      </c>
      <c r="B3" s="2" t="inlineStr">
        <is>
          <t>High</t>
        </is>
      </c>
      <c r="C3" s="2" t="inlineStr">
        <is>
          <t>Borderless PDF tables lose their rows: whole columns are merged into one cell, and cells over 1,000 characters are cut.</t>
        </is>
      </c>
      <c r="D3" s="2" t="inlineStr">
        <is>
          <t>Census Table A-1 (page 21): one cell holds '74,580 95,450 110,800 56,030 ...' with the row names in a different cell; 19 tables were cut at the 1,000-character cell limit. f2-q4 and f2-q5 missed in every round; the answer model declined f2-q4 in both v1 and v2.</t>
        </is>
      </c>
      <c r="E3" s="2" t="inlineStr">
        <is>
          <t>Values from report tables cannot be matched to their rows, so table questions on real reports fail or are declined; data past the cut is lost.</t>
        </is>
      </c>
      <c r="F3" s="2" t="inlineStr">
        <is>
          <t>New extractor version: detect merged-column tables (cells with many line-separated values) and fall back to text lines for those tables instead of truncating.</t>
        </is>
      </c>
      <c r="G3" s="2" t="inlineStr">
        <is>
          <t>Fixed</t>
        </is>
      </c>
      <c r="H3" s="2" t="inlineStr">
        <is>
          <t>f2-q4 and f2-q5 now retrieve their Table A-1 row (rank 2 and 4; before: not in the top 5). f2-q4 answer changed from wrongly declined to correct ($110,800). Rotated landscape tables are kept whole but transposed (known limit).</t>
        </is>
      </c>
    </row>
    <row r="4">
      <c r="A4" s="2" t="inlineStr">
        <is>
          <t>X3</t>
        </is>
      </c>
      <c r="B4" s="2" t="inlineStr">
        <is>
          <t>High</t>
        </is>
      </c>
      <c r="C4" s="2" t="inlineStr">
        <is>
          <t>'Publish the other files and show warnings' does not publish the others when a file cannot be read.</t>
        </is>
      </c>
      <c r="D4" s="2" t="inlineStr">
        <is>
          <t>R3b (OCR off) with warn-v1: the scanned report had no text, and the whole files run failed instead of excluding it. warn-v1 only excludes files marked optional.</t>
        </is>
      </c>
      <c r="E4" s="2" t="inlineStr">
        <is>
          <t>The plain-language choice in the Extract panel promises more than it does.</t>
        </is>
      </c>
      <c r="F4" s="2" t="inlineStr">
        <is>
          <t>Either exclude any unreadable file under this choice, or reword it to match the behaviour.</t>
        </is>
      </c>
      <c r="G4" s="2" t="inlineStr">
        <is>
          <t>Fixed (tests)</t>
        </is>
      </c>
      <c r="H4" s="2" t="inlineStr">
        <is>
          <t>Covered by PostgreSQL tests for files, S3 and Website runs: an unreadable item is skipped and the rest publish. Not re-run live: no A1 item failed.</t>
        </is>
      </c>
    </row>
    <row r="5">
      <c r="A5" s="2" t="inlineStr">
        <is>
          <t>X4</t>
        </is>
      </c>
      <c r="B5" s="2" t="inlineStr">
        <is>
          <t>Medium</t>
        </is>
      </c>
      <c r="C5" s="2" t="inlineStr">
        <is>
          <t>Website tables are flattened to one value per line.</t>
        </is>
      </c>
      <c r="D5" s="2" t="inlineStr">
        <is>
          <t>GOV.UK minimum-wage and vehicle-tax tables and the Wikipedia infobox appear as single values on separate lines; the column a value belongs to is lost. No website chunk is stored as a table.</t>
        </is>
      </c>
      <c r="E5" s="2" t="inlineStr">
        <is>
          <t>Answers that depend on a column can go wrong; in this test the model still answered the three website table questions correctly.</t>
        </is>
      </c>
      <c r="F5" s="2" t="inlineStr">
        <is>
          <t>Render HTML tables as Markdown rows in the website extractor (new web extractor version).</t>
        </is>
      </c>
      <c r="G5" s="2" t="inlineStr">
        <is>
          <t>Fixed</t>
        </is>
      </c>
      <c r="H5" s="2" t="inlineStr">
        <is>
          <t>A1 website index has 156 table chunks, all with a header row (R1: 0).</t>
        </is>
      </c>
    </row>
    <row r="6">
      <c r="A6" s="2" t="inlineStr">
        <is>
          <t>X5</t>
        </is>
      </c>
      <c r="B6" s="2" t="inlineStr">
        <is>
          <t>Medium</t>
        </is>
      </c>
      <c r="C6" s="2" t="inlineStr">
        <is>
          <t>Line-break de-hyphenation merges real hyphenated words.</t>
        </is>
      </c>
      <c r="D6" s="2" t="inlineStr">
        <is>
          <t>'married-\ncouple' in the Census report became 'marriedcouple' after Clean.</t>
        </is>
      </c>
      <c r="E6" s="2" t="inlineStr">
        <is>
          <t>Search for the hyphenated term and exact quotes can miss.</t>
        </is>
      </c>
      <c r="F6" s="2" t="inlineStr">
        <is>
          <t>Keep the hyphen when both parts are dictionary words or the hyphen is followed by a lowercase word that also appears hyphenated elsewhere.</t>
        </is>
      </c>
      <c r="G6" s="2" t="inlineStr">
        <is>
          <t>Mostly fixed</t>
        </is>
      </c>
      <c r="H6" s="2" t="inlineStr">
        <is>
          <t>4 of 5 'married-couple' occurrences in the Census report keep their hyphen; one still reads 'marriedcouple' (cause not yet traced).</t>
        </is>
      </c>
    </row>
    <row r="7">
      <c r="A7" s="2" t="inlineStr">
        <is>
          <t>X6</t>
        </is>
      </c>
      <c r="B7" s="2" t="inlineStr">
        <is>
          <t>Low</t>
        </is>
      </c>
      <c r="C7" s="2" t="inlineStr">
        <is>
          <t>On long Wikipedia articles the lead paragraph can rank below notes and references.</t>
        </is>
      </c>
      <c r="D7" s="2" t="inlineStr">
        <is>
          <t>w2-q2 (reef count) and w2-q6 (Moon distance) found the right page but not the lead chunk in R1; references and explanatory notes are indexed.</t>
        </is>
      </c>
      <c r="E7" s="2" t="inlineStr">
        <is>
          <t>Lower rank for the most important facts on long pages.</t>
        </is>
      </c>
      <c r="F7" s="2" t="inlineStr">
        <is>
          <t>Consider excluding reference lists and footnotes from website chunks.</t>
        </is>
      </c>
      <c r="G7" s="2" t="inlineStr">
        <is>
          <t>Fixed</t>
        </is>
      </c>
      <c r="H7" s="2" t="inlineStr">
        <is>
          <t>No chunk from a References/Notes/External links section and no 'Retrieved ...' citation text in the A1 website index.</t>
        </is>
      </c>
    </row>
    <row r="8">
      <c r="A8" s="2" t="inlineStr">
        <is>
          <t>X7</t>
        </is>
      </c>
      <c r="B8" s="2" t="inlineStr">
        <is>
          <t>Low</t>
        </is>
      </c>
      <c r="C8" s="2" t="inlineStr">
        <is>
          <t>Website run details list out-of-scope links as succeeded with 0 chunks, often twice.</t>
        </is>
      </c>
      <c r="D8" s="2" t="inlineStr">
        <is>
          <t>The Python crawl reports 56 items, including changelog, genindex and licence pages outside /3/tutorial/; only the 17 tutorial pages were indexed.</t>
        </is>
      </c>
      <c r="E8" s="2" t="inlineStr">
        <is>
          <t>Run details look as if unwanted pages were ingested.</t>
        </is>
      </c>
      <c r="F8" s="2" t="inlineStr">
        <is>
          <t>Show discovered-but-out-of-scope links as excluded with a reason, once each.</t>
        </is>
      </c>
      <c r="G8" s="2" t="inlineStr">
        <is>
          <t>Fixed (tests)</t>
        </is>
      </c>
      <c r="H8" s="2" t="inlineStr">
        <is>
          <t>PostgreSQL test: an out-of-scope link found twice is listed once as excluded/skipped. A1 reused the R1 snapshot, so no new crawl links were listed.</t>
        </is>
      </c>
    </row>
    <row r="9">
      <c r="A9" s="2" t="inlineStr">
        <is>
          <t>X8</t>
        </is>
      </c>
      <c r="B9" s="2" t="inlineStr">
        <is>
          <t>Low</t>
        </is>
      </c>
      <c r="C9" s="2" t="inlineStr">
        <is>
          <t>Embedding cost is not recorded by the app.</t>
        </is>
      </c>
      <c r="D9" s="2" t="inlineStr">
        <is>
          <t>Ingestion runs and indexes have no cost field; this test used an upper-bound estimate from indexed bytes.</t>
        </is>
      </c>
      <c r="E9" s="2" t="inlineStr">
        <is>
          <t>Indexing cost shows as unknown in the product.</t>
        </is>
      </c>
      <c r="F9" s="2" t="inlineStr">
        <is>
          <t>Record provider-reported embedding tokens and cost per run.</t>
        </is>
      </c>
      <c r="G9" s="2" t="inlineStr">
        <is>
          <t>Fixed</t>
        </is>
      </c>
      <c r="H9" s="2" t="inlineStr">
        <is>
          <t>The app recorded provider-reported embedding usage: websites 137,559 tokens / $0.0028; files 0 tokens / $0 (every vector reused).</t>
        </is>
      </c>
    </row>
    <row r="10">
      <c r="A10" s="2" t="inlineStr">
        <is>
          <t>X9</t>
        </is>
      </c>
      <c r="B10" s="2" t="inlineStr">
        <is>
          <t>Medium</t>
        </is>
      </c>
      <c r="C10" s="2" t="inlineStr">
        <is>
          <t>A combined citation such as [S1, S2] is recorded as invalid, so the answer shows no valid citation.</t>
        </is>
      </c>
      <c r="D10" s="2" t="inlineStr">
        <is>
          <t>A1: w1-q1, f2-q4, f2-q6, f3-q1 cite '[S1, S2]'-style groups and have valid=[]; R1 shows the same (w1-q1, w4-q4). validate_citations() treats the whole bracket as one label.</t>
        </is>
      </c>
      <c r="E10" s="2" t="inlineStr">
        <is>
          <t>Correct, supported answers look uncited in the evidence view.</t>
        </is>
      </c>
      <c r="F10" s="2" t="inlineStr">
        <is>
          <t>Split a bracket on commas before checking labels; add a test.</t>
        </is>
      </c>
      <c r="G10" s="2" t="inlineStr">
        <is>
          <t>Fixed</t>
        </is>
      </c>
      <c r="H10" s="2" t="inlineStr">
        <is>
          <t>Found during the spec 0007 re-run. validate_citations() now splits [S1, S2] into S1 and S2, and the answer view links each valid source. Covered by tests; recorded A1 answers keep the citations stored at the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workbookViewId="0">
      <pane ySplit="4" topLeftCell="A5" activePane="bottomLeft" state="frozen"/>
      <selection pane="bottomLeft" activeCell="A1" sqref="A1"/>
    </sheetView>
  </sheetViews>
  <sheetFormatPr baseColWidth="8" defaultRowHeight="15"/>
  <cols>
    <col width="10" customWidth="1" min="1" max="1"/>
    <col width="40" customWidth="1" min="2" max="2"/>
    <col width="18" customWidth="1" min="3" max="3"/>
    <col width="22" customWidth="1" min="4" max="4"/>
    <col width="60" customWidth="1" min="5" max="5"/>
  </cols>
  <sheetData>
    <row r="1">
      <c r="A1" s="1" t="inlineStr">
        <is>
          <t>Before vs after the spec 0007 fixes (same website snapshot, files and questions)</t>
        </is>
      </c>
      <c r="B1" s="2" t="n"/>
      <c r="C1" s="2" t="n"/>
      <c r="D1" s="2" t="n"/>
      <c r="E1" s="2" t="n"/>
    </row>
    <row r="2">
      <c r="A2" s="3" t="inlineStr">
        <is>
          <t>Before: websites R1, files R1w (R1 files was blocked). After: A1 = extractor v3, files 'Stop and let me review', websites 'Publish the others'.</t>
        </is>
      </c>
      <c r="B2" s="2" t="n"/>
      <c r="C2" s="2" t="n"/>
      <c r="D2" s="2" t="n"/>
      <c r="E2" s="2" t="n"/>
    </row>
    <row r="3">
      <c r="A3" s="2" t="n"/>
      <c r="B3" s="2" t="n"/>
      <c r="C3" s="2" t="n"/>
      <c r="D3" s="2" t="n"/>
      <c r="E3" s="2" t="n"/>
    </row>
    <row r="4">
      <c r="A4" s="4" t="inlineStr">
        <is>
          <t>Track</t>
        </is>
      </c>
      <c r="B4" s="4" t="inlineStr">
        <is>
          <t>Measure</t>
        </is>
      </c>
      <c r="C4" s="4" t="inlineStr">
        <is>
          <t>Before</t>
        </is>
      </c>
      <c r="D4" s="4" t="inlineStr">
        <is>
          <t>After</t>
        </is>
      </c>
      <c r="E4" s="4" t="inlineStr">
        <is>
          <t>Note</t>
        </is>
      </c>
    </row>
    <row r="5">
      <c r="A5" s="2" t="inlineStr">
        <is>
          <t>web</t>
        </is>
      </c>
      <c r="B5" s="2" t="inlineStr">
        <is>
          <t>Hit@1</t>
        </is>
      </c>
      <c r="C5" s="2" t="inlineStr">
        <is>
          <t>15/28</t>
        </is>
      </c>
      <c r="D5" s="2" t="inlineStr">
        <is>
          <t>18/28</t>
        </is>
      </c>
      <c r="E5" s="2" t="inlineStr"/>
    </row>
    <row r="6">
      <c r="A6" s="2" t="inlineStr">
        <is>
          <t>web</t>
        </is>
      </c>
      <c r="B6" s="2" t="inlineStr">
        <is>
          <t>Hit@5</t>
        </is>
      </c>
      <c r="C6" s="2" t="inlineStr">
        <is>
          <t>25/28</t>
        </is>
      </c>
      <c r="D6" s="2" t="inlineStr">
        <is>
          <t>27/28</t>
        </is>
      </c>
      <c r="E6" s="2" t="inlineStr"/>
    </row>
    <row r="7">
      <c r="A7" s="2" t="inlineStr">
        <is>
          <t>web</t>
        </is>
      </c>
      <c r="B7" s="2" t="inlineStr">
        <is>
          <t>Recommended run published</t>
        </is>
      </c>
      <c r="C7" s="2" t="inlineStr">
        <is>
          <t>succeeded</t>
        </is>
      </c>
      <c r="D7" s="2" t="inlineStr">
        <is>
          <t>succeeded</t>
        </is>
      </c>
      <c r="E7" s="2" t="inlineStr"/>
    </row>
    <row r="8">
      <c r="A8" s="2" t="inlineStr">
        <is>
          <t>web</t>
        </is>
      </c>
      <c r="B8" s="2" t="inlineStr">
        <is>
          <t>Embedding (app-reported)</t>
        </is>
      </c>
      <c r="C8" s="2" t="inlineStr">
        <is>
          <t>not recorded</t>
        </is>
      </c>
      <c r="D8" s="2" t="inlineStr">
        <is>
          <t>137559 tokens, $0.00275118</t>
        </is>
      </c>
      <c r="E8" s="2" t="inlineStr">
        <is>
          <t>Reused vectors add nothing</t>
        </is>
      </c>
    </row>
    <row r="9">
      <c r="A9" s="2" t="inlineStr">
        <is>
          <t>files</t>
        </is>
      </c>
      <c r="B9" s="2" t="inlineStr">
        <is>
          <t>Hit@1</t>
        </is>
      </c>
      <c r="C9" s="2" t="inlineStr">
        <is>
          <t>9/19</t>
        </is>
      </c>
      <c r="D9" s="2" t="inlineStr">
        <is>
          <t>9/19</t>
        </is>
      </c>
      <c r="E9" s="2" t="inlineStr"/>
    </row>
    <row r="10">
      <c r="A10" s="2" t="inlineStr">
        <is>
          <t>files</t>
        </is>
      </c>
      <c r="B10" s="2" t="inlineStr">
        <is>
          <t>Hit@5</t>
        </is>
      </c>
      <c r="C10" s="2" t="inlineStr">
        <is>
          <t>17/19</t>
        </is>
      </c>
      <c r="D10" s="2" t="inlineStr">
        <is>
          <t>19/19</t>
        </is>
      </c>
      <c r="E10" s="2" t="inlineStr"/>
    </row>
    <row r="11">
      <c r="A11" s="2" t="inlineStr">
        <is>
          <t>files</t>
        </is>
      </c>
      <c r="B11" s="2" t="inlineStr">
        <is>
          <t>Recommended run published</t>
        </is>
      </c>
      <c r="C11" s="2" t="inlineStr">
        <is>
          <t>failed</t>
        </is>
      </c>
      <c r="D11" s="2" t="inlineStr">
        <is>
          <t>succeeded</t>
        </is>
      </c>
      <c r="E11" s="2" t="inlineStr">
        <is>
          <t>R1 files was blocked by the Census report</t>
        </is>
      </c>
    </row>
    <row r="12">
      <c r="A12" s="2" t="inlineStr">
        <is>
          <t>files</t>
        </is>
      </c>
      <c r="B12" s="2" t="inlineStr">
        <is>
          <t>Embedding (app-reported)</t>
        </is>
      </c>
      <c r="C12" s="2" t="inlineStr">
        <is>
          <t>not recorded</t>
        </is>
      </c>
      <c r="D12" s="2" t="inlineStr">
        <is>
          <t>0 tokens, $0.0</t>
        </is>
      </c>
      <c r="E12" s="2" t="inlineStr">
        <is>
          <t>Reused vectors add nothing</t>
        </is>
      </c>
    </row>
    <row r="13">
      <c r="A13" s="2" t="inlineStr">
        <is>
          <t>both</t>
        </is>
      </c>
      <c r="B13" s="2" t="inlineStr">
        <is>
          <t>Answers correct or correctly declined</t>
        </is>
      </c>
      <c r="C13" s="2" t="inlineStr">
        <is>
          <t>19/20</t>
        </is>
      </c>
      <c r="D13" s="2" t="inlineStr">
        <is>
          <t>20/20</t>
        </is>
      </c>
      <c r="E13" s="2" t="inlineStr">
        <is>
          <t>A1 scored against the references, not blind (one new round)</t>
        </is>
      </c>
    </row>
    <row r="14">
      <c r="A14" s="2" t="n"/>
      <c r="B14" s="2" t="n"/>
      <c r="C14" s="2" t="n"/>
      <c r="D14" s="2" t="n"/>
      <c r="E14" s="2" t="n"/>
    </row>
    <row r="15">
      <c r="A15" s="2" t="inlineStr">
        <is>
          <t>Questions whose retrieval changed</t>
        </is>
      </c>
      <c r="B15" s="2" t="n"/>
      <c r="C15" s="2" t="n"/>
      <c r="D15" s="2" t="n"/>
      <c r="E15" s="2" t="n"/>
    </row>
    <row r="16">
      <c r="A16" s="2" t="inlineStr">
        <is>
          <t>Question</t>
        </is>
      </c>
      <c r="B16" s="2" t="inlineStr">
        <is>
          <t>Source</t>
        </is>
      </c>
      <c r="C16" s="2" t="inlineStr">
        <is>
          <t>Question text</t>
        </is>
      </c>
      <c r="D16" s="2" t="inlineStr">
        <is>
          <t>First hit rank before</t>
        </is>
      </c>
      <c r="E16" s="2" t="inlineStr">
        <is>
          <t>First hit rank after</t>
        </is>
      </c>
    </row>
    <row r="17">
      <c r="A17" s="2" t="inlineStr">
        <is>
          <t>w2-q2</t>
        </is>
      </c>
      <c r="B17" s="2" t="inlineStr">
        <is>
          <t>W2</t>
        </is>
      </c>
      <c r="C17" s="2" t="inlineStr">
        <is>
          <t>How many individual reefs make up the Great Barrier Reef?</t>
        </is>
      </c>
      <c r="D17" s="2" t="inlineStr">
        <is>
          <t>not in top 5</t>
        </is>
      </c>
      <c r="E17" s="2" t="n">
        <v>1</v>
      </c>
    </row>
    <row r="18">
      <c r="A18" s="2" t="inlineStr">
        <is>
          <t>w2-q6</t>
        </is>
      </c>
      <c r="B18" s="2" t="inlineStr">
        <is>
          <t>W2</t>
        </is>
      </c>
      <c r="C18" s="2" t="inlineStr">
        <is>
          <t>What is the Moon's average distance from Earth?</t>
        </is>
      </c>
      <c r="D18" s="2" t="inlineStr">
        <is>
          <t>not in top 5</t>
        </is>
      </c>
      <c r="E18" s="2" t="n">
        <v>3</v>
      </c>
    </row>
    <row r="19">
      <c r="A19" s="2" t="inlineStr">
        <is>
          <t>w2-q7</t>
        </is>
      </c>
      <c r="B19" s="2" t="inlineStr">
        <is>
          <t>W2</t>
        </is>
      </c>
      <c r="C19" s="2" t="inlineStr">
        <is>
          <t>When was Python 3.0 released?</t>
        </is>
      </c>
      <c r="D19" s="2" t="n">
        <v>2</v>
      </c>
      <c r="E19" s="2" t="n">
        <v>1</v>
      </c>
    </row>
    <row r="20">
      <c r="A20" s="2" t="inlineStr">
        <is>
          <t>w3-q6</t>
        </is>
      </c>
      <c r="B20" s="2" t="inlineStr">
        <is>
          <t>W3</t>
        </is>
      </c>
      <c r="C20" s="2" t="inlineStr">
        <is>
          <t>What is the first vehicle tax payment for a petrol car emitting 111 to 130g/km of CO2?</t>
        </is>
      </c>
      <c r="D20" s="2" t="n">
        <v>2</v>
      </c>
      <c r="E20" s="2" t="n">
        <v>1</v>
      </c>
    </row>
    <row r="21">
      <c r="A21" s="2" t="inlineStr">
        <is>
          <t>f2-q4</t>
        </is>
      </c>
      <c r="B21" s="2" t="inlineStr">
        <is>
          <t>F2</t>
        </is>
      </c>
      <c r="C21" s="2" t="inlineStr">
        <is>
          <t>What was the median income of married-couple households in 2022 according to Table A-1?</t>
        </is>
      </c>
      <c r="D21" s="2" t="inlineStr">
        <is>
          <t>not in top 5</t>
        </is>
      </c>
      <c r="E21" s="2" t="n">
        <v>2</v>
      </c>
    </row>
    <row r="22">
      <c r="A22" s="2" t="inlineStr">
        <is>
          <t>f2-q5</t>
        </is>
      </c>
      <c r="B22" s="2" t="inlineStr">
        <is>
          <t>F2</t>
        </is>
      </c>
      <c r="C22" s="2" t="inlineStr">
        <is>
          <t>What was the median income of family households in 2022 according to Table A-1?</t>
        </is>
      </c>
      <c r="D22" s="2" t="inlineStr">
        <is>
          <t>not in top 5</t>
        </is>
      </c>
      <c r="E22" s="2" t="n">
        <v>4</v>
      </c>
    </row>
    <row r="23">
      <c r="A23" s="2" t="n"/>
      <c r="B23" s="2" t="n"/>
      <c r="C23" s="2" t="n"/>
      <c r="D23" s="2" t="n"/>
      <c r="E23" s="2" t="n"/>
    </row>
    <row r="24">
      <c r="A24" s="2" t="inlineStr">
        <is>
          <t>Findings status</t>
        </is>
      </c>
      <c r="B24" s="2" t="n"/>
      <c r="C24" s="2" t="n"/>
      <c r="D24" s="2" t="n"/>
      <c r="E24" s="2" t="n"/>
    </row>
    <row r="25">
      <c r="A25" s="2" t="inlineStr">
        <is>
          <t>ID</t>
        </is>
      </c>
      <c r="B25" s="2" t="inlineStr">
        <is>
          <t>Finding</t>
        </is>
      </c>
      <c r="C25" s="2" t="inlineStr">
        <is>
          <t>After fixes</t>
        </is>
      </c>
      <c r="D25" s="2" t="inlineStr">
        <is>
          <t>Evidence</t>
        </is>
      </c>
      <c r="E25" s="2" t="n"/>
    </row>
    <row r="26">
      <c r="A26" s="2" t="inlineStr">
        <is>
          <t>X1</t>
        </is>
      </c>
      <c r="B26" s="2" t="inlineStr">
        <is>
          <t>The recommended setting ('Stop and let me review') blocks an ordinary government report.</t>
        </is>
      </c>
      <c r="C26" s="2" t="inlineStr">
        <is>
          <t>Fixed</t>
        </is>
      </c>
      <c r="D26" s="2" t="inlineStr">
        <is>
          <t>A1 files run with 'Stop and let me review' published all three files; the Census report is no longer blocked (layout-ocr-v3).</t>
        </is>
      </c>
      <c r="E26" s="2" t="n"/>
    </row>
    <row r="27">
      <c r="A27" s="2" t="inlineStr">
        <is>
          <t>X2</t>
        </is>
      </c>
      <c r="B27" s="2" t="inlineStr">
        <is>
          <t>Borderless PDF tables lose their rows: whole columns are merged into one cell, and cells over 1,000 characters are cut.</t>
        </is>
      </c>
      <c r="C27" s="2" t="inlineStr">
        <is>
          <t>Fixed</t>
        </is>
      </c>
      <c r="D27" s="2" t="inlineStr">
        <is>
          <t>f2-q4 and f2-q5 now retrieve their Table A-1 row (rank 2 and 4; before: not in the top 5). f2-q4 answer changed from wrongly declined to correct ($110,800). Rotated landscape tables are kept whole but transposed (known limit).</t>
        </is>
      </c>
      <c r="E27" s="2" t="n"/>
    </row>
    <row r="28">
      <c r="A28" s="2" t="inlineStr">
        <is>
          <t>X3</t>
        </is>
      </c>
      <c r="B28" s="2" t="inlineStr">
        <is>
          <t>'Publish the other files and show warnings' does not publish the others when a file cannot be read.</t>
        </is>
      </c>
      <c r="C28" s="2" t="inlineStr">
        <is>
          <t>Fixed (tests)</t>
        </is>
      </c>
      <c r="D28" s="2" t="inlineStr">
        <is>
          <t>Covered by PostgreSQL tests for files, S3 and Website runs: an unreadable item is skipped and the rest publish. Not re-run live: no A1 item failed.</t>
        </is>
      </c>
      <c r="E28" s="2" t="n"/>
    </row>
    <row r="29">
      <c r="A29" s="2" t="inlineStr">
        <is>
          <t>X4</t>
        </is>
      </c>
      <c r="B29" s="2" t="inlineStr">
        <is>
          <t>Website tables are flattened to one value per line.</t>
        </is>
      </c>
      <c r="C29" s="2" t="inlineStr">
        <is>
          <t>Fixed</t>
        </is>
      </c>
      <c r="D29" s="2" t="inlineStr">
        <is>
          <t>A1 website index has 156 table chunks, all with a header row (R1: 0).</t>
        </is>
      </c>
      <c r="E29" s="2" t="n"/>
    </row>
    <row r="30">
      <c r="A30" s="2" t="inlineStr">
        <is>
          <t>X5</t>
        </is>
      </c>
      <c r="B30" s="2" t="inlineStr">
        <is>
          <t>Line-break de-hyphenation merges real hyphenated words.</t>
        </is>
      </c>
      <c r="C30" s="2" t="inlineStr">
        <is>
          <t>Mostly fixed</t>
        </is>
      </c>
      <c r="D30" s="2" t="inlineStr">
        <is>
          <t>4 of 5 'married-couple' occurrences in the Census report keep their hyphen; one still reads 'marriedcouple' (cause not yet traced).</t>
        </is>
      </c>
      <c r="E30" s="2" t="n"/>
    </row>
    <row r="31">
      <c r="A31" s="2" t="inlineStr">
        <is>
          <t>X6</t>
        </is>
      </c>
      <c r="B31" s="2" t="inlineStr">
        <is>
          <t>On long Wikipedia articles the lead paragraph can rank below notes and references.</t>
        </is>
      </c>
      <c r="C31" s="2" t="inlineStr">
        <is>
          <t>Fixed</t>
        </is>
      </c>
      <c r="D31" s="2" t="inlineStr">
        <is>
          <t>No chunk from a References/Notes/External links section and no 'Retrieved ...' citation text in the A1 website index.</t>
        </is>
      </c>
      <c r="E31" s="2" t="n"/>
    </row>
    <row r="32">
      <c r="A32" s="2" t="inlineStr">
        <is>
          <t>X7</t>
        </is>
      </c>
      <c r="B32" s="2" t="inlineStr">
        <is>
          <t>Website run details list out-of-scope links as succeeded with 0 chunks, often twice.</t>
        </is>
      </c>
      <c r="C32" s="2" t="inlineStr">
        <is>
          <t>Fixed (tests)</t>
        </is>
      </c>
      <c r="D32" s="2" t="inlineStr">
        <is>
          <t>PostgreSQL test: an out-of-scope link found twice is listed once as excluded/skipped. A1 reused the R1 snapshot, so no new crawl links were listed.</t>
        </is>
      </c>
      <c r="E32" s="2" t="n"/>
    </row>
    <row r="33">
      <c r="A33" s="2" t="inlineStr">
        <is>
          <t>X8</t>
        </is>
      </c>
      <c r="B33" s="2" t="inlineStr">
        <is>
          <t>Embedding cost is not recorded by the app.</t>
        </is>
      </c>
      <c r="C33" s="2" t="inlineStr">
        <is>
          <t>Fixed</t>
        </is>
      </c>
      <c r="D33" s="2" t="inlineStr">
        <is>
          <t>The app recorded provider-reported embedding usage: websites 137,559 tokens / $0.0028; files 0 tokens / $0 (every vector reused).</t>
        </is>
      </c>
      <c r="E33" s="2" t="n"/>
    </row>
    <row r="34">
      <c r="A34" s="2" t="inlineStr">
        <is>
          <t>X9</t>
        </is>
      </c>
      <c r="B34" s="2" t="inlineStr">
        <is>
          <t>A combined citation such as [S1, S2] is recorded as invalid, so the answer shows no valid citation.</t>
        </is>
      </c>
      <c r="C34" s="2" t="inlineStr">
        <is>
          <t>Fixed</t>
        </is>
      </c>
      <c r="D34" s="2" t="inlineStr">
        <is>
          <t>Found during the spec 0007 re-run. validate_citations() now splits [S1, S2] into S1 and S2, and the answer view links each valid source. Covered by tests; recorded A1 answers keep the citations stored at the time.</t>
        </is>
      </c>
      <c r="E34" s="2" t="n"/>
    </row>
    <row r="35">
      <c r="A35" s="2" t="n"/>
      <c r="B35" s="2" t="n"/>
      <c r="C35" s="2" t="n"/>
      <c r="D35" s="2" t="n"/>
      <c r="E35" s="2" t="n"/>
    </row>
    <row r="36">
      <c r="A36" s="2" t="inlineStr">
        <is>
          <t>Note</t>
        </is>
      </c>
      <c r="B36" s="2" t="inlineStr">
        <is>
          <t>First A1 website run used html-main-v3, which dropped Python-docs links marked class reference and split sentences at citation markers. Re-run with html-main-v3.1. Its retrieval: hit@5 lost w1-q1, w1-q5, w2-q3, w2-q7 versus R1.</t>
        </is>
      </c>
      <c r="C36" s="2" t="n"/>
      <c r="D36" s="2" t="n"/>
      <c r="E36"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12" customWidth="1" min="3" max="3"/>
    <col width="50" customWidth="1" min="4" max="4"/>
    <col width="30" customWidth="1" min="5" max="5"/>
    <col width="12" customWidth="1" min="6" max="6"/>
    <col width="14" customWidth="1" min="7" max="7"/>
    <col width="50" customWidth="1" min="8" max="8"/>
  </cols>
  <sheetData>
    <row r="1">
      <c r="A1" s="1" t="inlineStr">
        <is>
          <t>Extractor v4 against v3 on real files (spec 0008, round A2)</t>
        </is>
      </c>
      <c r="B1" s="2" t="n"/>
      <c r="C1" s="2" t="n"/>
      <c r="D1" s="2" t="n"/>
      <c r="E1" s="2" t="n"/>
      <c r="F1" s="2" t="n"/>
      <c r="G1" s="2" t="n"/>
      <c r="H1" s="2" t="n"/>
    </row>
    <row r="2">
      <c r="A2" s="3" t="inlineStr">
        <is>
          <t>Before: A1 = extractor v3, Maximum OCR pages 50. After: A2 = extractor v4, Maximum OCR pages 100, other Extract settings at the recommended values. The spec 0006 files use 'Stop and let me review'; the new files (F4-F7) use 'Publish the other files and show warnings'. Websites reuse the A1 index: v4 does not change the website reader.</t>
        </is>
      </c>
      <c r="B2" s="2" t="n"/>
      <c r="C2" s="2" t="n"/>
      <c r="D2" s="2" t="n"/>
      <c r="E2" s="2" t="n"/>
      <c r="F2" s="2" t="n"/>
      <c r="G2" s="2" t="n"/>
      <c r="H2" s="2" t="n"/>
    </row>
    <row r="3">
      <c r="A3" s="2" t="n"/>
      <c r="B3" s="2" t="n"/>
      <c r="C3" s="2" t="n"/>
      <c r="D3" s="2" t="n"/>
      <c r="E3" s="2" t="n"/>
      <c r="F3" s="2" t="n"/>
      <c r="G3" s="2" t="n"/>
      <c r="H3" s="2" t="n"/>
    </row>
    <row r="4">
      <c r="A4" s="4" t="inlineStr">
        <is>
          <t>Measure</t>
        </is>
      </c>
      <c r="B4" s="4" t="inlineStr">
        <is>
          <t>A1 (v3)</t>
        </is>
      </c>
      <c r="C4" s="4" t="inlineStr">
        <is>
          <t>A2 (v4)</t>
        </is>
      </c>
      <c r="D4" s="4" t="inlineStr">
        <is>
          <t>Note</t>
        </is>
      </c>
      <c r="E4" s="4" t="n"/>
      <c r="F4" s="4" t="n"/>
      <c r="G4" s="4" t="n"/>
      <c r="H4" s="4" t="n"/>
    </row>
    <row r="5">
      <c r="A5" s="2" t="inlineStr">
        <is>
          <t>Hit@1, spec 0006 file questions</t>
        </is>
      </c>
      <c r="B5" s="2" t="inlineStr">
        <is>
          <t>9/19</t>
        </is>
      </c>
      <c r="C5" s="2" t="inlineStr">
        <is>
          <t>10/19</t>
        </is>
      </c>
      <c r="D5" s="2" t="inlineStr"/>
      <c r="E5" s="2" t="n"/>
      <c r="F5" s="2" t="n"/>
      <c r="G5" s="2" t="n"/>
      <c r="H5" s="2" t="n"/>
    </row>
    <row r="6">
      <c r="A6" s="2" t="inlineStr">
        <is>
          <t>Hit@5, spec 0006 file questions</t>
        </is>
      </c>
      <c r="B6" s="2" t="inlineStr">
        <is>
          <t>19/19</t>
        </is>
      </c>
      <c r="C6" s="2" t="inlineStr">
        <is>
          <t>19/19</t>
        </is>
      </c>
      <c r="D6" s="2" t="inlineStr"/>
      <c r="E6" s="2" t="n"/>
      <c r="F6" s="2" t="n"/>
      <c r="G6" s="2" t="n"/>
      <c r="H6" s="2" t="n"/>
    </row>
    <row r="7">
      <c r="A7" s="2" t="inlineStr">
        <is>
          <t>File questions found in A1 and missed in A2</t>
        </is>
      </c>
      <c r="B7" s="2" t="inlineStr"/>
      <c r="C7" s="2" t="n">
        <v>0</v>
      </c>
      <c r="D7" s="2" t="inlineStr">
        <is>
          <t>none</t>
        </is>
      </c>
      <c r="E7" s="2" t="n"/>
      <c r="F7" s="2" t="n"/>
      <c r="G7" s="2" t="n"/>
      <c r="H7" s="2" t="n"/>
    </row>
    <row r="8">
      <c r="A8" s="2" t="inlineStr">
        <is>
          <t>files run</t>
        </is>
      </c>
      <c r="B8" s="2" t="inlineStr">
        <is>
          <t>succeeded</t>
        </is>
      </c>
      <c r="C8" s="2" t="inlineStr">
        <is>
          <t>succeeded</t>
        </is>
      </c>
      <c r="D8" s="2" t="inlineStr">
        <is>
          <t>637 chunks; embedding 57835 tokens, $0.0011567 (app-reported)</t>
        </is>
      </c>
      <c r="E8" s="2" t="n"/>
      <c r="F8" s="2" t="n"/>
      <c r="G8" s="2" t="n"/>
      <c r="H8" s="2" t="n"/>
    </row>
    <row r="9">
      <c r="A9" s="2" t="inlineStr">
        <is>
          <t>new run</t>
        </is>
      </c>
      <c r="B9" s="2" t="inlineStr">
        <is>
          <t>not run</t>
        </is>
      </c>
      <c r="C9" s="2" t="inlineStr">
        <is>
          <t>succeeded</t>
        </is>
      </c>
      <c r="D9" s="2" t="inlineStr">
        <is>
          <t>1030 chunks; embedding 94681 tokens, $0.00189362 (app-reported)</t>
        </is>
      </c>
      <c r="E9" s="2" t="n"/>
      <c r="F9" s="2" t="n"/>
      <c r="G9" s="2" t="n"/>
      <c r="H9" s="2" t="n"/>
    </row>
    <row r="10">
      <c r="A10" s="2" t="inlineStr">
        <is>
          <t>Answers correct or correctly declined, spec 0006 file questions</t>
        </is>
      </c>
      <c r="B10" s="2" t="inlineStr">
        <is>
          <t>8/8</t>
        </is>
      </c>
      <c r="C10" s="2" t="inlineStr">
        <is>
          <t>8/8</t>
        </is>
      </c>
      <c r="D10" s="2" t="inlineStr"/>
      <c r="E10" s="2" t="n"/>
      <c r="F10" s="2" t="n"/>
      <c r="G10" s="2" t="n"/>
      <c r="H10" s="2" t="n"/>
    </row>
    <row r="11">
      <c r="A11" s="2" t="inlineStr">
        <is>
          <t>File answers correct in A1 and not in A2</t>
        </is>
      </c>
      <c r="B11" s="2" t="inlineStr"/>
      <c r="C11" s="2" t="n">
        <v>0</v>
      </c>
      <c r="D11" s="2" t="inlineStr">
        <is>
          <t>none</t>
        </is>
      </c>
      <c r="E11" s="2" t="n"/>
      <c r="F11" s="2" t="n"/>
      <c r="G11" s="2" t="n"/>
      <c r="H11" s="2" t="n"/>
    </row>
    <row r="12">
      <c r="A12" s="2" t="inlineStr">
        <is>
          <t>Answers correct or correctly declined, new questions</t>
        </is>
      </c>
      <c r="B12" s="2" t="inlineStr"/>
      <c r="C12" s="2" t="inlineStr">
        <is>
          <t>11/17</t>
        </is>
      </c>
      <c r="D12" s="2" t="inlineStr"/>
      <c r="E12" s="2" t="n"/>
      <c r="F12" s="2" t="n"/>
      <c r="G12" s="2" t="n"/>
      <c r="H12" s="2" t="n"/>
    </row>
    <row r="13">
      <c r="A13" s="2" t="n"/>
      <c r="B13" s="2" t="n"/>
      <c r="C13" s="2" t="n"/>
      <c r="D13" s="2" t="n"/>
      <c r="E13" s="2" t="n"/>
      <c r="F13" s="2" t="n"/>
      <c r="G13" s="2" t="n"/>
      <c r="H13" s="2" t="n"/>
    </row>
    <row r="14">
      <c r="A14" s="2" t="inlineStr">
        <is>
          <t>New questions (written from the source files)</t>
        </is>
      </c>
      <c r="B14" s="2" t="n"/>
      <c r="C14" s="2" t="n"/>
      <c r="D14" s="2" t="n"/>
      <c r="E14" s="2" t="n"/>
      <c r="F14" s="2" t="n"/>
      <c r="G14" s="2" t="n"/>
      <c r="H14" s="2" t="n"/>
    </row>
    <row r="15">
      <c r="A15" s="2" t="inlineStr">
        <is>
          <t>Question</t>
        </is>
      </c>
      <c r="B15" s="2" t="inlineStr">
        <is>
          <t>Source</t>
        </is>
      </c>
      <c r="C15" s="2" t="inlineStr">
        <is>
          <t>Kind</t>
        </is>
      </c>
      <c r="D15" s="2" t="inlineStr">
        <is>
          <t>Question text</t>
        </is>
      </c>
      <c r="E15" s="2" t="inlineStr">
        <is>
          <t>Reference answer</t>
        </is>
      </c>
      <c r="F15" s="2" t="inlineStr">
        <is>
          <t>First hit rank (A2)</t>
        </is>
      </c>
      <c r="G15" s="2" t="inlineStr">
        <is>
          <t>Answer label (A2)</t>
        </is>
      </c>
      <c r="H15" s="2" t="inlineStr">
        <is>
          <t>Reason</t>
        </is>
      </c>
    </row>
    <row r="16">
      <c r="A16" s="2" t="inlineStr">
        <is>
          <t>f2-q9</t>
        </is>
      </c>
      <c r="B16" s="2" t="inlineStr">
        <is>
          <t>F2</t>
        </is>
      </c>
      <c r="C16" s="2" t="inlineStr">
        <is>
          <t>table</t>
        </is>
      </c>
      <c r="D16" s="2" t="inlineStr">
        <is>
          <t>According to Table A-2, what was the median household income for all races in 2015, in 2022 dollars?</t>
        </is>
      </c>
      <c r="E16" s="2" t="inlineStr">
        <is>
          <t>$68,410</t>
        </is>
      </c>
      <c r="F16" s="2" t="inlineStr">
        <is>
          <t>not in top 5</t>
        </is>
      </c>
      <c r="G16" s="2" t="inlineStr">
        <is>
          <t>wrong-abstain</t>
        </is>
      </c>
      <c r="H16" s="2" t="inlineStr">
        <is>
          <t>Declined; the Table A-2 2015 row is in the index (correct, read row by row) but not in the top 5, which held the 2019-2022 rows.</t>
        </is>
      </c>
    </row>
    <row r="17">
      <c r="A17" s="2" t="inlineStr">
        <is>
          <t>f2-q10</t>
        </is>
      </c>
      <c r="B17" s="2" t="inlineStr">
        <is>
          <t>F2</t>
        </is>
      </c>
      <c r="C17" s="2" t="inlineStr">
        <is>
          <t>table</t>
        </is>
      </c>
      <c r="D17" s="2" t="inlineStr">
        <is>
          <t>According to Table A-2, what was the mean household income for all races in 1990, in 2022 dollars?</t>
        </is>
      </c>
      <c r="E17" s="2" t="inlineStr">
        <is>
          <t>$76,820</t>
        </is>
      </c>
      <c r="F17" s="2" t="inlineStr">
        <is>
          <t>not in top 5</t>
        </is>
      </c>
      <c r="G17" s="2" t="inlineStr">
        <is>
          <t>wrong-abstain</t>
        </is>
      </c>
      <c r="H17" s="2" t="inlineStr">
        <is>
          <t>Declined; the 1990 row is in the index but not in the top 5.</t>
        </is>
      </c>
    </row>
    <row r="18">
      <c r="A18" s="2" t="inlineStr">
        <is>
          <t>f4-q1</t>
        </is>
      </c>
      <c r="B18" s="2" t="inlineStr">
        <is>
          <t>F4</t>
        </is>
      </c>
      <c r="C18" s="2" t="inlineStr">
        <is>
          <t>text</t>
        </is>
      </c>
      <c r="D18" s="2" t="inlineStr">
        <is>
          <t>Combien de décès dus aux maladies de l'appareil circulatoire pour 100 000 habitants l'UE-28 comptait-elle en 2015 ?</t>
        </is>
      </c>
      <c r="E18" s="2" t="inlineStr">
        <is>
          <t>381 décès pour 100 000 habitants</t>
        </is>
      </c>
      <c r="F18" s="2" t="inlineStr">
        <is>
          <t>not in top 5</t>
        </is>
      </c>
      <c r="G18" s="2" t="inlineStr">
        <is>
          <t>wrong-abstain</t>
        </is>
      </c>
      <c r="H18" s="2" t="inlineStr">
        <is>
          <t>Declined; the chart callout '381 deces' is not in the index (chart read as an empty table).</t>
        </is>
      </c>
    </row>
    <row r="19">
      <c r="A19" s="2" t="inlineStr">
        <is>
          <t>f4-q2</t>
        </is>
      </c>
      <c r="B19" s="2" t="inlineStr">
        <is>
          <t>F4</t>
        </is>
      </c>
      <c r="C19" s="2" t="inlineStr">
        <is>
          <t>text</t>
        </is>
      </c>
      <c r="D19" s="2" t="inlineStr">
        <is>
          <t>En 2015, combien de fois plus de risques de mourir d'une maladie de l'appareil circulatoire avait une personne vivant en Bulgarie qu'une personne vivant en France ?</t>
        </is>
      </c>
      <c r="E19" s="2" t="inlineStr">
        <is>
          <t>5,5 fois plus</t>
        </is>
      </c>
      <c r="F19" s="2" t="n">
        <v>1</v>
      </c>
      <c r="G19" s="2" t="inlineStr">
        <is>
          <t>correct</t>
        </is>
      </c>
      <c r="H19" s="2" t="inlineStr">
        <is>
          <t>5,5 fois, as the reference.</t>
        </is>
      </c>
    </row>
    <row r="20">
      <c r="A20" s="2" t="inlineStr">
        <is>
          <t>f4-q3</t>
        </is>
      </c>
      <c r="B20" s="2" t="inlineStr">
        <is>
          <t>F4</t>
        </is>
      </c>
      <c r="C20" s="2" t="inlineStr">
        <is>
          <t>text</t>
        </is>
      </c>
      <c r="D20" s="2" t="inlineStr">
        <is>
          <t>Quelle part des marchandises transportées dans l'UE-28 l'est par la route ?</t>
        </is>
      </c>
      <c r="E20" s="2" t="inlineStr">
        <is>
          <t>77 %</t>
        </is>
      </c>
      <c r="F20" s="2" t="n">
        <v>1</v>
      </c>
      <c r="G20" s="2" t="inlineStr">
        <is>
          <t>correct</t>
        </is>
      </c>
      <c r="H20" s="2" t="inlineStr">
        <is>
          <t>77 %, as the reference.</t>
        </is>
      </c>
    </row>
    <row r="21">
      <c r="A21" s="2" t="inlineStr">
        <is>
          <t>f4-q4</t>
        </is>
      </c>
      <c r="B21" s="2" t="inlineStr">
        <is>
          <t>F4</t>
        </is>
      </c>
      <c r="C21" s="2" t="inlineStr">
        <is>
          <t>text</t>
        </is>
      </c>
      <c r="D21" s="2" t="inlineStr">
        <is>
          <t>De combien les émissions de gaz à effet de serre de l'UE-28 ont-elles baissé par rapport à 1990 ?</t>
        </is>
      </c>
      <c r="E21" s="2" t="inlineStr">
        <is>
          <t>De 22 % par rapport à 1990</t>
        </is>
      </c>
      <c r="F21" s="2" t="inlineStr">
        <is>
          <t>not in top 5</t>
        </is>
      </c>
      <c r="G21" s="2" t="inlineStr">
        <is>
          <t>correct</t>
        </is>
      </c>
      <c r="H21" s="2" t="inlineStr">
        <is>
          <t>22,4 % against 1990 (the prose figure; the chart callout rounds it to 22 %).</t>
        </is>
      </c>
    </row>
    <row r="22">
      <c r="A22" s="2" t="inlineStr">
        <is>
          <t>f5-q1</t>
        </is>
      </c>
      <c r="B22" s="2" t="inlineStr">
        <is>
          <t>F5</t>
        </is>
      </c>
      <c r="C22" s="2" t="inlineStr">
        <is>
          <t>ocr</t>
        </is>
      </c>
      <c r="D22" s="2" t="inlineStr">
        <is>
          <t>Who prepared the compilation of the 1950 water-use estimates in USGS Circular 115?</t>
        </is>
      </c>
      <c r="E22" s="2" t="inlineStr">
        <is>
          <t>Kenneth A. MacKichan</t>
        </is>
      </c>
      <c r="F22" s="2" t="n">
        <v>1</v>
      </c>
      <c r="G22" s="2" t="inlineStr">
        <is>
          <t>correct</t>
        </is>
      </c>
      <c r="H22" s="2" t="inlineStr">
        <is>
          <t>Matches the reference answer.</t>
        </is>
      </c>
    </row>
    <row r="23">
      <c r="A23" s="2" t="inlineStr">
        <is>
          <t>f5-q2</t>
        </is>
      </c>
      <c r="B23" s="2" t="inlineStr">
        <is>
          <t>F5</t>
        </is>
      </c>
      <c r="C23" s="2" t="inlineStr">
        <is>
          <t>ocr</t>
        </is>
      </c>
      <c r="D23" s="2" t="inlineStr">
        <is>
          <t>According to Table 1 of USGS Circular 115, how much surface water did municipalities in Illinois use in 1950 (mgd)?</t>
        </is>
      </c>
      <c r="E23" s="2" t="inlineStr">
        <is>
          <t>1,070 mgd</t>
        </is>
      </c>
      <c r="F23" s="2" t="inlineStr">
        <is>
          <t>not in top 5</t>
        </is>
      </c>
      <c r="G23" s="2" t="inlineStr">
        <is>
          <t>wrong-abstain</t>
        </is>
      </c>
      <c r="H23" s="2" t="inlineStr">
        <is>
          <t>Declined; the OCR row 'Illinois ... 1,070' is in the index but not in the top 5.</t>
        </is>
      </c>
    </row>
    <row r="24">
      <c r="A24" s="2" t="inlineStr">
        <is>
          <t>f5-q3</t>
        </is>
      </c>
      <c r="B24" s="2" t="inlineStr">
        <is>
          <t>F5</t>
        </is>
      </c>
      <c r="C24" s="2" t="inlineStr">
        <is>
          <t>ocr</t>
        </is>
      </c>
      <c r="D24" s="2" t="inlineStr">
        <is>
          <t>According to Table 1 of USGS Circular 115, how much ground water did municipalities in Kansas use in 1950 (mgd)?</t>
        </is>
      </c>
      <c r="E24" s="2" t="inlineStr">
        <is>
          <t>75 mgd</t>
        </is>
      </c>
      <c r="F24" s="2" t="n">
        <v>2</v>
      </c>
      <c r="G24" s="2" t="inlineStr">
        <is>
          <t>wrong-abstain</t>
        </is>
      </c>
      <c r="H24" s="2" t="inlineStr">
        <is>
          <t>Declined; the Kansas row is not in the top 5, and OCR reads its 75 as 78.</t>
        </is>
      </c>
    </row>
    <row r="25">
      <c r="A25" s="2" t="inlineStr">
        <is>
          <t>f6-q1</t>
        </is>
      </c>
      <c r="B25" s="2" t="inlineStr">
        <is>
          <t>F6</t>
        </is>
      </c>
      <c r="C25" s="2" t="inlineStr">
        <is>
          <t>text</t>
        </is>
      </c>
      <c r="D25" s="2" t="inlineStr">
        <is>
          <t>What is the word limit for section A3.2, on tackling potholes, in the DfT highways maintenance transparency report template?</t>
        </is>
      </c>
      <c r="E25" s="2" t="inlineStr">
        <is>
          <t>250 words</t>
        </is>
      </c>
      <c r="F25" s="2" t="inlineStr">
        <is>
          <t>not in top 5</t>
        </is>
      </c>
      <c r="G25" s="2" t="inlineStr">
        <is>
          <t>wrong-abstain</t>
        </is>
      </c>
      <c r="H25" s="2" t="inlineStr">
        <is>
          <t>Declined; the rank-1 chunk has 'Word limit - 250 words' but the A3.2 heading is in an earlier chunk, so the model could not tie the limit to A3.2.</t>
        </is>
      </c>
    </row>
    <row r="26">
      <c r="A26" s="2" t="inlineStr">
        <is>
          <t>f6-q2</t>
        </is>
      </c>
      <c r="B26" s="2" t="inlineStr">
        <is>
          <t>F6</t>
        </is>
      </c>
      <c r="C26" s="2" t="inlineStr">
        <is>
          <t>table</t>
        </is>
      </c>
      <c r="D26" s="2" t="inlineStr">
        <is>
          <t>Into which asset categories does table A4.1 of the DfT template break down spending on highways maintenance?</t>
        </is>
      </c>
      <c r="E26" s="2" t="inlineStr">
        <is>
          <t>Carriageways, footways, structures, drainage, street lighting and other assets</t>
        </is>
      </c>
      <c r="F26" s="2" t="n">
        <v>1</v>
      </c>
      <c r="G26" s="2" t="inlineStr">
        <is>
          <t>correct</t>
        </is>
      </c>
      <c r="H26" s="2" t="inlineStr">
        <is>
          <t>All six categories.</t>
        </is>
      </c>
    </row>
    <row r="27">
      <c r="A27" s="2" t="inlineStr">
        <is>
          <t>f7-q1</t>
        </is>
      </c>
      <c r="B27" s="2" t="inlineStr">
        <is>
          <t>F7</t>
        </is>
      </c>
      <c r="C27" s="2" t="inlineStr">
        <is>
          <t>table</t>
        </is>
      </c>
      <c r="D27" s="2" t="inlineStr">
        <is>
          <t>In the Prevent risk assessment example matrix, what score range counts as medium risk?</t>
        </is>
      </c>
      <c r="E27" s="2" t="inlineStr">
        <is>
          <t>7 to 11</t>
        </is>
      </c>
      <c r="F27" s="2" t="n">
        <v>1</v>
      </c>
      <c r="G27" s="2" t="inlineStr">
        <is>
          <t>correct</t>
        </is>
      </c>
      <c r="H27" s="2" t="inlineStr">
        <is>
          <t>7 to 11, from the slide table.</t>
        </is>
      </c>
    </row>
    <row r="28">
      <c r="A28" s="2" t="inlineStr">
        <is>
          <t>f7-q2</t>
        </is>
      </c>
      <c r="B28" s="2" t="inlineStr">
        <is>
          <t>F7</t>
        </is>
      </c>
      <c r="C28" s="2" t="inlineStr">
        <is>
          <t>table</t>
        </is>
      </c>
      <c r="D28" s="2" t="inlineStr">
        <is>
          <t>In the Prevent risk assessment matrix, which severity of impact has the same rating as a 'Very likely' probability?</t>
        </is>
      </c>
      <c r="E28" s="2" t="inlineStr">
        <is>
          <t>Major (rating 4)</t>
        </is>
      </c>
      <c r="F28" s="2" t="n">
        <v>1</v>
      </c>
      <c r="G28" s="2" t="inlineStr">
        <is>
          <t>correct</t>
        </is>
      </c>
      <c r="H28" s="2" t="inlineStr">
        <is>
          <t>Major, rating 4, from the slide table.</t>
        </is>
      </c>
    </row>
    <row r="29">
      <c r="A29" s="2" t="inlineStr">
        <is>
          <t>f7-q3</t>
        </is>
      </c>
      <c r="B29" s="2" t="inlineStr">
        <is>
          <t>F7</t>
        </is>
      </c>
      <c r="C29" s="2" t="inlineStr">
        <is>
          <t>table</t>
        </is>
      </c>
      <c r="D29" s="2" t="inlineStr">
        <is>
          <t>According to the Prevent slides, on what scale are the severity and likelihood of risks usually ranked?</t>
        </is>
      </c>
      <c r="E29" s="2" t="inlineStr">
        <is>
          <t>A 1-5 scale</t>
        </is>
      </c>
      <c r="F29" s="2" t="n">
        <v>3</v>
      </c>
      <c r="G29" s="2" t="inlineStr">
        <is>
          <t>correct</t>
        </is>
      </c>
      <c r="H29" s="2" t="inlineStr">
        <is>
          <t>1-5 scale, from the slide table.</t>
        </is>
      </c>
    </row>
    <row r="30">
      <c r="A30" s="2" t="inlineStr">
        <is>
          <t>f7-q4</t>
        </is>
      </c>
      <c r="B30" s="2" t="inlineStr">
        <is>
          <t>F7</t>
        </is>
      </c>
      <c r="C30" s="2" t="inlineStr">
        <is>
          <t>unanswerable</t>
        </is>
      </c>
      <c r="D30" s="2" t="inlineStr">
        <is>
          <t>What score marks a critical risk in the Prevent risk assessment matrix?</t>
        </is>
      </c>
      <c r="E30" s="2" t="inlineStr">
        <is>
          <t>Not stated in the source (the highest band is High risk, 12+).</t>
        </is>
      </c>
      <c r="F30" s="2" t="inlineStr">
        <is>
          <t>n/a</t>
        </is>
      </c>
      <c r="G30" s="2" t="inlineStr">
        <is>
          <t>correct-abstain</t>
        </is>
      </c>
      <c r="H30" s="2" t="inlineStr">
        <is>
          <t>Declined; the matrix has no critical band.</t>
        </is>
      </c>
    </row>
    <row r="31">
      <c r="A31" s="2" t="inlineStr">
        <is>
          <t>f5-q4</t>
        </is>
      </c>
      <c r="B31" s="2" t="inlineStr">
        <is>
          <t>F5</t>
        </is>
      </c>
      <c r="C31" s="2" t="inlineStr">
        <is>
          <t>unanswerable</t>
        </is>
      </c>
      <c r="D31" s="2" t="inlineStr">
        <is>
          <t>How much water did Alaska withdraw for irrigation in 1950 according to USGS Circular 115?</t>
        </is>
      </c>
      <c r="E31" s="2" t="inlineStr">
        <is>
          <t>Not stated in the source.</t>
        </is>
      </c>
      <c r="F31" s="2" t="inlineStr">
        <is>
          <t>n/a</t>
        </is>
      </c>
      <c r="G31" s="2" t="inlineStr">
        <is>
          <t>correct-abstain</t>
        </is>
      </c>
      <c r="H31" s="2" t="inlineStr">
        <is>
          <t>Declined; Alaska is not in Table 1.</t>
        </is>
      </c>
    </row>
    <row r="32">
      <c r="A32" s="2" t="inlineStr">
        <is>
          <t>f4-q5</t>
        </is>
      </c>
      <c r="B32" s="2" t="inlineStr">
        <is>
          <t>F4</t>
        </is>
      </c>
      <c r="C32" s="2" t="inlineStr">
        <is>
          <t>unanswerable</t>
        </is>
      </c>
      <c r="D32" s="2" t="inlineStr">
        <is>
          <t>Quel était le taux de chômage au Japon en 2018 selon ce rapport ?</t>
        </is>
      </c>
      <c r="E32" s="2" t="inlineStr">
        <is>
          <t>Not stated in the source.</t>
        </is>
      </c>
      <c r="F32" s="2" t="inlineStr">
        <is>
          <t>n/a</t>
        </is>
      </c>
      <c r="G32" s="2" t="inlineStr">
        <is>
          <t>correct-abstain</t>
        </is>
      </c>
      <c r="H32" s="2" t="inlineStr">
        <is>
          <t>Declined; not in the report.</t>
        </is>
      </c>
    </row>
    <row r="33">
      <c r="A33" s="2" t="n"/>
      <c r="B33" s="2" t="n"/>
      <c r="C33" s="2" t="n"/>
      <c r="D33" s="2" t="n"/>
      <c r="E33" s="2" t="n"/>
      <c r="F33" s="2" t="n"/>
      <c r="G33" s="2" t="n"/>
      <c r="H33" s="2" t="n"/>
    </row>
    <row r="34">
      <c r="A34" s="2" t="inlineStr">
        <is>
          <t>Questions whose retrieval changed from A1 to A2</t>
        </is>
      </c>
      <c r="B34" s="2" t="n"/>
      <c r="C34" s="2" t="n"/>
      <c r="D34" s="2" t="n"/>
      <c r="E34" s="2" t="n"/>
      <c r="F34" s="2" t="n"/>
      <c r="G34" s="2" t="n"/>
      <c r="H34" s="2" t="n"/>
    </row>
    <row r="35">
      <c r="A35" s="2" t="inlineStr">
        <is>
          <t>Question</t>
        </is>
      </c>
      <c r="B35" s="2" t="inlineStr">
        <is>
          <t>Source</t>
        </is>
      </c>
      <c r="C35" s="2" t="inlineStr">
        <is>
          <t>Question text</t>
        </is>
      </c>
      <c r="D35" s="2" t="inlineStr">
        <is>
          <t>First hit rank A1</t>
        </is>
      </c>
      <c r="E35" s="2" t="inlineStr">
        <is>
          <t>First hit rank A2</t>
        </is>
      </c>
      <c r="F35" s="2" t="n"/>
      <c r="G35" s="2" t="n"/>
      <c r="H35" s="2" t="n"/>
    </row>
    <row r="36">
      <c r="A36" s="2" t="inlineStr">
        <is>
          <t>f2-q4</t>
        </is>
      </c>
      <c r="B36" s="2" t="inlineStr">
        <is>
          <t>F2</t>
        </is>
      </c>
      <c r="C36" s="2" t="inlineStr">
        <is>
          <t>What was the median income of married-couple households in 2022 according to Table A-1?</t>
        </is>
      </c>
      <c r="D36" s="2" t="n">
        <v>2</v>
      </c>
      <c r="E36" s="2" t="n">
        <v>1</v>
      </c>
      <c r="F36" s="2" t="n"/>
      <c r="G36" s="2" t="n"/>
      <c r="H36"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2"/>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12" customWidth="1" min="3" max="3"/>
    <col width="50" customWidth="1" min="4" max="4"/>
    <col width="30" customWidth="1" min="5" max="5"/>
    <col width="12" customWidth="1" min="6" max="6"/>
    <col width="14" customWidth="1" min="7" max="7"/>
    <col width="50" customWidth="1" min="8" max="8"/>
  </cols>
  <sheetData>
    <row r="1">
      <c r="A1" s="1" t="inlineStr">
        <is>
          <t>Extractor v5 against v4 on real files (spec 0009, round A3)</t>
        </is>
      </c>
      <c r="B1" s="2" t="n"/>
      <c r="C1" s="2" t="n"/>
      <c r="D1" s="2" t="n"/>
      <c r="E1" s="2" t="n"/>
      <c r="F1" s="2" t="n"/>
      <c r="G1" s="2" t="n"/>
      <c r="H1" s="2" t="n"/>
    </row>
    <row r="2">
      <c r="A2" s="3" t="inlineStr">
        <is>
          <t>Before: A2 = extractor v4; the spec 0008 files used 'Publish the other files'. After: A3 = extractor v5 with the same settings, the spec 0008 files under 'Stop and let me review'. The spec 0009 files (G1-G8) use 'Publish the other files and show warnings' so each file's outcome shows. Websites reuse the A1 index.</t>
        </is>
      </c>
      <c r="B2" s="2" t="n"/>
      <c r="C2" s="2" t="n"/>
      <c r="D2" s="2" t="n"/>
      <c r="E2" s="2" t="n"/>
      <c r="F2" s="2" t="n"/>
      <c r="G2" s="2" t="n"/>
      <c r="H2" s="2" t="n"/>
    </row>
    <row r="3">
      <c r="A3" s="2" t="n"/>
      <c r="B3" s="2" t="n"/>
      <c r="C3" s="2" t="n"/>
      <c r="D3" s="2" t="n"/>
      <c r="E3" s="2" t="n"/>
      <c r="F3" s="2" t="n"/>
      <c r="G3" s="2" t="n"/>
      <c r="H3" s="2" t="n"/>
    </row>
    <row r="4">
      <c r="A4" s="4" t="inlineStr">
        <is>
          <t>Measure</t>
        </is>
      </c>
      <c r="B4" s="4" t="inlineStr">
        <is>
          <t>A2 (v4)</t>
        </is>
      </c>
      <c r="C4" s="4" t="inlineStr">
        <is>
          <t>A3 (v5)</t>
        </is>
      </c>
      <c r="D4" s="4" t="inlineStr">
        <is>
          <t>Note</t>
        </is>
      </c>
      <c r="E4" s="4" t="n"/>
      <c r="F4" s="4" t="n"/>
      <c r="G4" s="4" t="n"/>
      <c r="H4" s="4" t="n"/>
    </row>
    <row r="5">
      <c r="A5" s="2" t="inlineStr">
        <is>
          <t>Hit@1, spec 0006 and 0008 file questions</t>
        </is>
      </c>
      <c r="B5" s="2" t="inlineStr">
        <is>
          <t>16/33</t>
        </is>
      </c>
      <c r="C5" s="2" t="inlineStr">
        <is>
          <t>16/33</t>
        </is>
      </c>
      <c r="D5" s="2" t="inlineStr"/>
      <c r="E5" s="2" t="n"/>
      <c r="F5" s="2" t="n"/>
      <c r="G5" s="2" t="n"/>
      <c r="H5" s="2" t="n"/>
    </row>
    <row r="6">
      <c r="A6" s="2" t="inlineStr">
        <is>
          <t>Hit@5, spec 0006 and 0008 file questions</t>
        </is>
      </c>
      <c r="B6" s="2" t="inlineStr">
        <is>
          <t>27/33</t>
        </is>
      </c>
      <c r="C6" s="2" t="inlineStr">
        <is>
          <t>27/33</t>
        </is>
      </c>
      <c r="D6" s="2" t="inlineStr"/>
      <c r="E6" s="2" t="n"/>
      <c r="F6" s="2" t="n"/>
      <c r="G6" s="2" t="n"/>
      <c r="H6" s="2" t="n"/>
    </row>
    <row r="7">
      <c r="A7" s="2" t="inlineStr">
        <is>
          <t>Found in A2 and missed in A3</t>
        </is>
      </c>
      <c r="B7" s="2" t="inlineStr"/>
      <c r="C7" s="2" t="n">
        <v>0</v>
      </c>
      <c r="D7" s="2" t="inlineStr">
        <is>
          <t>none</t>
        </is>
      </c>
      <c r="E7" s="2" t="n"/>
      <c r="F7" s="2" t="n"/>
      <c r="G7" s="2" t="n"/>
      <c r="H7" s="2" t="n"/>
    </row>
    <row r="8">
      <c r="A8" s="2" t="inlineStr">
        <is>
          <t>files run</t>
        </is>
      </c>
      <c r="B8" s="2" t="inlineStr">
        <is>
          <t>succeeded</t>
        </is>
      </c>
      <c r="C8" s="2" t="inlineStr">
        <is>
          <t>succeeded</t>
        </is>
      </c>
      <c r="D8" s="2" t="inlineStr">
        <is>
          <t>707 chunks; embedding 87675 tokens, $0.0017535 (app-reported)</t>
        </is>
      </c>
      <c r="E8" s="2" t="n"/>
      <c r="F8" s="2" t="n"/>
      <c r="G8" s="2" t="n"/>
      <c r="H8" s="2" t="n"/>
    </row>
    <row r="9">
      <c r="A9" s="2" t="inlineStr">
        <is>
          <t>new run</t>
        </is>
      </c>
      <c r="B9" s="2" t="inlineStr">
        <is>
          <t>succeeded</t>
        </is>
      </c>
      <c r="C9" s="2" t="inlineStr">
        <is>
          <t>succeeded</t>
        </is>
      </c>
      <c r="D9" s="2" t="inlineStr">
        <is>
          <t>1025 chunks; embedding 7873 tokens, $0.00015746 (app-reported)</t>
        </is>
      </c>
      <c r="E9" s="2" t="n"/>
      <c r="F9" s="2" t="n"/>
      <c r="G9" s="2" t="n"/>
      <c r="H9" s="2" t="n"/>
    </row>
    <row r="10">
      <c r="A10" s="2" t="inlineStr">
        <is>
          <t>d2 run</t>
        </is>
      </c>
      <c r="B10" s="2" t="inlineStr">
        <is>
          <t>not run</t>
        </is>
      </c>
      <c r="C10" s="2" t="inlineStr">
        <is>
          <t>succeeded</t>
        </is>
      </c>
      <c r="D10" s="2" t="inlineStr">
        <is>
          <t>844 chunks; embedding 110195 tokens, $0.0022039 (app-reported)</t>
        </is>
      </c>
      <c r="E10" s="2" t="n"/>
      <c r="F10" s="2" t="n"/>
      <c r="G10" s="2" t="n"/>
      <c r="H10" s="2" t="n"/>
    </row>
    <row r="11">
      <c r="A11" s="2" t="inlineStr">
        <is>
          <t>Answers correct or correctly declined, spec 0006 and 0008 file questions</t>
        </is>
      </c>
      <c r="B11" s="2" t="inlineStr">
        <is>
          <t>19/25</t>
        </is>
      </c>
      <c r="C11" s="2" t="inlineStr">
        <is>
          <t>19/25</t>
        </is>
      </c>
      <c r="D11" s="2" t="inlineStr"/>
      <c r="E11" s="2" t="n"/>
      <c r="F11" s="2" t="n"/>
      <c r="G11" s="2" t="n"/>
      <c r="H11" s="2" t="n"/>
    </row>
    <row r="12">
      <c r="A12" s="2" t="inlineStr">
        <is>
          <t>File answers correct in A2 and not in A3</t>
        </is>
      </c>
      <c r="B12" s="2" t="inlineStr"/>
      <c r="C12" s="2" t="n">
        <v>0</v>
      </c>
      <c r="D12" s="2" t="inlineStr">
        <is>
          <t>none</t>
        </is>
      </c>
      <c r="E12" s="2" t="n"/>
      <c r="F12" s="2" t="n"/>
      <c r="G12" s="2" t="n"/>
      <c r="H12" s="2" t="n"/>
    </row>
    <row r="13">
      <c r="A13" s="2" t="inlineStr">
        <is>
          <t>File answers correct in A3 and not in A2</t>
        </is>
      </c>
      <c r="B13" s="2" t="inlineStr"/>
      <c r="C13" s="2" t="n">
        <v>0</v>
      </c>
      <c r="D13" s="2" t="inlineStr">
        <is>
          <t>none</t>
        </is>
      </c>
      <c r="E13" s="2" t="n"/>
      <c r="F13" s="2" t="n"/>
      <c r="G13" s="2" t="n"/>
      <c r="H13" s="2" t="n"/>
    </row>
    <row r="14">
      <c r="A14" s="2" t="inlineStr">
        <is>
          <t>Answers correct or correctly declined, spec 0009 questions</t>
        </is>
      </c>
      <c r="B14" s="2" t="inlineStr"/>
      <c r="C14" s="2" t="inlineStr">
        <is>
          <t>18/19</t>
        </is>
      </c>
      <c r="D14" s="2" t="inlineStr"/>
      <c r="E14" s="2" t="n"/>
      <c r="F14" s="2" t="n"/>
      <c r="G14" s="2" t="n"/>
      <c r="H14" s="2" t="n"/>
    </row>
    <row r="15">
      <c r="A15" s="2" t="n"/>
      <c r="B15" s="2" t="n"/>
      <c r="C15" s="2" t="n"/>
      <c r="D15" s="2" t="n"/>
      <c r="E15" s="2" t="n"/>
      <c r="F15" s="2" t="n"/>
      <c r="G15" s="2" t="n"/>
      <c r="H15" s="2" t="n"/>
    </row>
    <row r="16">
      <c r="A16" s="2" t="inlineStr">
        <is>
          <t>Spec 0009 files (track d2)</t>
        </is>
      </c>
      <c r="B16" s="2" t="n"/>
      <c r="C16" s="2" t="n"/>
      <c r="D16" s="2" t="n"/>
      <c r="E16" s="2" t="n"/>
      <c r="F16" s="2" t="n"/>
      <c r="G16" s="2" t="n"/>
      <c r="H16" s="2" t="n"/>
    </row>
    <row r="17">
      <c r="A17" s="2" t="inlineStr">
        <is>
          <t>Source</t>
        </is>
      </c>
      <c r="B17" s="2" t="inlineStr">
        <is>
          <t>File</t>
        </is>
      </c>
      <c r="C17" s="2" t="inlineStr">
        <is>
          <t>Item status</t>
        </is>
      </c>
      <c r="D17" s="2" t="inlineStr">
        <is>
          <t>Outcome or reason</t>
        </is>
      </c>
      <c r="E17" s="2" t="inlineStr">
        <is>
          <t>Chunks</t>
        </is>
      </c>
      <c r="F17" s="2" t="n"/>
      <c r="G17" s="2" t="n"/>
      <c r="H17" s="2" t="n"/>
    </row>
    <row r="18">
      <c r="A18" s="2" t="inlineStr">
        <is>
          <t>G1</t>
        </is>
      </c>
      <c r="B18" s="2" t="inlineStr">
        <is>
          <t>IRS Form W-4 (2026), Employee's Withholding Certificate (form with worksheets and tables)</t>
        </is>
      </c>
      <c r="C18" s="2" t="inlineStr">
        <is>
          <t>succeeded</t>
        </is>
      </c>
      <c r="D18" s="2" t="inlineStr"/>
      <c r="E18" s="2" t="n">
        <v>57</v>
      </c>
      <c r="F18" s="2" t="n"/>
      <c r="G18" s="2" t="n"/>
      <c r="H18" s="2" t="n"/>
    </row>
    <row r="19">
      <c r="A19" s="2" t="inlineStr">
        <is>
          <t>G2</t>
        </is>
      </c>
      <c r="B19" s="2" t="inlineStr">
        <is>
          <t>NIST SP 800-63B, Digital Identity Guidelines: Authentication and Lifecycle Management (2017, updated 2020; withdrawn 2025 and kept for history)</t>
        </is>
      </c>
      <c r="C19" s="2" t="inlineStr">
        <is>
          <t>succeeded</t>
        </is>
      </c>
      <c r="D19" s="2" t="inlineStr"/>
      <c r="E19" s="2" t="n">
        <v>466</v>
      </c>
      <c r="F19" s="2" t="n"/>
      <c r="G19" s="2" t="n"/>
      <c r="H19" s="2" t="n"/>
    </row>
    <row r="20">
      <c r="A20" s="2" t="inlineStr">
        <is>
          <t>G3</t>
        </is>
      </c>
      <c r="B20" s="2" t="inlineStr">
        <is>
          <t>GAO-23-900494, Fiscal Year 2024 Budget Request (testimony with charts and tables)</t>
        </is>
      </c>
      <c r="C20" s="2" t="inlineStr">
        <is>
          <t>succeeded</t>
        </is>
      </c>
      <c r="D20" s="2" t="inlineStr"/>
      <c r="E20" s="2" t="n">
        <v>94</v>
      </c>
      <c r="F20" s="2" t="n"/>
      <c r="G20" s="2" t="n"/>
      <c r="H20" s="2" t="n"/>
    </row>
    <row r="21">
      <c r="A21" s="2" t="inlineStr">
        <is>
          <t>G4</t>
        </is>
      </c>
      <c r="B21" s="2" t="inlineStr">
        <is>
          <t>Executive Order 9066 (1942), first page, typed scan, image-only copy</t>
        </is>
      </c>
      <c r="C21" s="2" t="inlineStr">
        <is>
          <t>succeeded</t>
        </is>
      </c>
      <c r="D21" s="2" t="inlineStr"/>
      <c r="E21" s="2" t="n">
        <v>3</v>
      </c>
      <c r="F21" s="2" t="n"/>
      <c r="G21" s="2" t="n"/>
      <c r="H21" s="2" t="n"/>
    </row>
    <row r="22">
      <c r="A22" s="2" t="inlineStr">
        <is>
          <t>G5</t>
        </is>
      </c>
      <c r="B22" s="2" t="inlineStr">
        <is>
          <t>NISRA, Labour Force Survey quarterly tables, October to December 2023 (XLSX, 27 sheets)</t>
        </is>
      </c>
      <c r="C22" s="2" t="inlineStr">
        <is>
          <t>succeeded</t>
        </is>
      </c>
      <c r="D22" s="2" t="inlineStr"/>
      <c r="E22" s="2" t="n">
        <v>94</v>
      </c>
      <c r="F22" s="2" t="n"/>
      <c r="G22" s="2" t="n"/>
      <c r="H22" s="2" t="n"/>
    </row>
    <row r="23">
      <c r="A23" s="2" t="inlineStr">
        <is>
          <t>G6</t>
        </is>
      </c>
      <c r="B23" s="2" t="inlineStr">
        <is>
          <t>ECGD, organisation chart and pay data, September 2012 (PPTX, 3 slides)</t>
        </is>
      </c>
      <c r="C23" s="2" t="inlineStr">
        <is>
          <t>succeeded</t>
        </is>
      </c>
      <c r="D23" s="2" t="inlineStr"/>
      <c r="E23" s="2" t="n">
        <v>8</v>
      </c>
      <c r="F23" s="2" t="n"/>
      <c r="G23" s="2" t="n"/>
      <c r="H23" s="2" t="n"/>
    </row>
    <row r="24">
      <c r="A24" s="2" t="inlineStr">
        <is>
          <t>G7</t>
        </is>
      </c>
      <c r="B24" s="2" t="inlineStr">
        <is>
          <t>DfE, Information sharing agreement template for childminder agencies and local authorities (DOCX)</t>
        </is>
      </c>
      <c r="C24" s="2" t="inlineStr">
        <is>
          <t>succeeded</t>
        </is>
      </c>
      <c r="D24" s="2" t="inlineStr"/>
      <c r="E24" s="2" t="n">
        <v>22</v>
      </c>
      <c r="F24" s="2" t="n"/>
      <c r="G24" s="2" t="n"/>
      <c r="H24" s="2" t="n"/>
    </row>
    <row r="25">
      <c r="A25" s="2" t="inlineStr">
        <is>
          <t>G8</t>
        </is>
      </c>
      <c r="B25" s="2" t="inlineStr">
        <is>
          <t>Pan et al. (2023), Sex difference in driving speed management, PLOS ONE 18(7): e0288653</t>
        </is>
      </c>
      <c r="C25" s="2" t="inlineStr">
        <is>
          <t>succeeded</t>
        </is>
      </c>
      <c r="D25" s="2" t="inlineStr"/>
      <c r="E25" s="2" t="n">
        <v>100</v>
      </c>
      <c r="F25" s="2" t="n"/>
      <c r="G25" s="2" t="n"/>
      <c r="H25" s="2" t="n"/>
    </row>
    <row r="26">
      <c r="A26" s="2" t="n"/>
      <c r="B26" s="2" t="n"/>
      <c r="C26" s="2" t="n"/>
      <c r="D26" s="2" t="n"/>
      <c r="E26" s="2" t="n"/>
      <c r="F26" s="2" t="n"/>
      <c r="G26" s="2" t="n"/>
      <c r="H26" s="2" t="n"/>
    </row>
    <row r="27">
      <c r="A27" s="2" t="inlineStr">
        <is>
          <t>Spec 0009 questions (written from the source files before the run)</t>
        </is>
      </c>
      <c r="B27" s="2" t="n"/>
      <c r="C27" s="2" t="n"/>
      <c r="D27" s="2" t="n"/>
      <c r="E27" s="2" t="n"/>
      <c r="F27" s="2" t="n"/>
      <c r="G27" s="2" t="n"/>
      <c r="H27" s="2" t="n"/>
    </row>
    <row r="28">
      <c r="A28" s="2" t="inlineStr">
        <is>
          <t>Question</t>
        </is>
      </c>
      <c r="B28" s="2" t="inlineStr">
        <is>
          <t>Source</t>
        </is>
      </c>
      <c r="C28" s="2" t="inlineStr">
        <is>
          <t>Kind</t>
        </is>
      </c>
      <c r="D28" s="2" t="inlineStr">
        <is>
          <t>Question text</t>
        </is>
      </c>
      <c r="E28" s="2" t="inlineStr">
        <is>
          <t>Reference answer</t>
        </is>
      </c>
      <c r="F28" s="2" t="inlineStr">
        <is>
          <t>First hit rank (A3)</t>
        </is>
      </c>
      <c r="G28" s="2" t="inlineStr">
        <is>
          <t>Answer label (A3)</t>
        </is>
      </c>
      <c r="H28" s="2" t="inlineStr">
        <is>
          <t>Reason</t>
        </is>
      </c>
    </row>
    <row r="29">
      <c r="A29" s="2" t="inlineStr">
        <is>
          <t>g1-q1</t>
        </is>
      </c>
      <c r="B29" s="2" t="inlineStr">
        <is>
          <t>G1</t>
        </is>
      </c>
      <c r="C29" s="2" t="inlineStr">
        <is>
          <t>text</t>
        </is>
      </c>
      <c r="D29" s="2" t="inlineStr">
        <is>
          <t>On the 2026 Form W-4 Deductions Worksheet, what is the most qualified overtime compensation a filer can enter (not married filing jointly)?</t>
        </is>
      </c>
      <c r="E29" s="2" t="inlineStr">
        <is>
          <t>$12,500 ($25,000 if married filing jointly)</t>
        </is>
      </c>
      <c r="F29" s="2" t="n">
        <v>1</v>
      </c>
      <c r="G29" s="2" t="inlineStr">
        <is>
          <t>correct</t>
        </is>
      </c>
      <c r="H29" s="2" t="inlineStr">
        <is>
          <t>$12,500 with the income condition.</t>
        </is>
      </c>
    </row>
    <row r="30">
      <c r="A30" s="2" t="inlineStr">
        <is>
          <t>g1-q2</t>
        </is>
      </c>
      <c r="B30" s="2" t="inlineStr">
        <is>
          <t>G1</t>
        </is>
      </c>
      <c r="C30" s="2" t="inlineStr">
        <is>
          <t>text</t>
        </is>
      </c>
      <c r="D30" s="2" t="inlineStr">
        <is>
          <t>What standard deduction amount does the 2026 Form W-4 Deductions Worksheet list for head of household?</t>
        </is>
      </c>
      <c r="E30" s="2" t="inlineStr">
        <is>
          <t>$24,150</t>
        </is>
      </c>
      <c r="F30" s="2" t="n">
        <v>1</v>
      </c>
      <c r="G30" s="2" t="inlineStr">
        <is>
          <t>correct</t>
        </is>
      </c>
      <c r="H30" s="2" t="inlineStr">
        <is>
          <t>Matches the reference answer.</t>
        </is>
      </c>
    </row>
    <row r="31">
      <c r="A31" s="2" t="inlineStr">
        <is>
          <t>g2-q1</t>
        </is>
      </c>
      <c r="B31" s="2" t="inlineStr">
        <is>
          <t>G2</t>
        </is>
      </c>
      <c r="C31" s="2" t="inlineStr">
        <is>
          <t>text</t>
        </is>
      </c>
      <c r="D31" s="2" t="inlineStr">
        <is>
          <t>What minimum length does NIST SP 800-63B set for memorized secrets chosen by the subscriber?</t>
        </is>
      </c>
      <c r="E31" s="2" t="inlineStr">
        <is>
          <t>At least 8 characters</t>
        </is>
      </c>
      <c r="F31" s="2" t="n">
        <v>1</v>
      </c>
      <c r="G31" s="2" t="inlineStr">
        <is>
          <t>correct</t>
        </is>
      </c>
      <c r="H31" s="2" t="inlineStr">
        <is>
          <t>Matches the reference answer.</t>
        </is>
      </c>
    </row>
    <row r="32">
      <c r="A32" s="2" t="inlineStr">
        <is>
          <t>g2-q2</t>
        </is>
      </c>
      <c r="B32" s="2" t="inlineStr">
        <is>
          <t>G2</t>
        </is>
      </c>
      <c r="C32" s="2" t="inlineStr">
        <is>
          <t>text</t>
        </is>
      </c>
      <c r="D32" s="2" t="inlineStr">
        <is>
          <t>Under NIST SP 800-63B, up to what length should verifiers permit subscriber-chosen memorized secrets?</t>
        </is>
      </c>
      <c r="E32" s="2" t="inlineStr">
        <is>
          <t>At least 64 characters</t>
        </is>
      </c>
      <c r="F32" s="2" t="n">
        <v>1</v>
      </c>
      <c r="G32" s="2" t="inlineStr">
        <is>
          <t>correct</t>
        </is>
      </c>
      <c r="H32" s="2" t="inlineStr">
        <is>
          <t>Matches the reference answer.</t>
        </is>
      </c>
    </row>
    <row r="33">
      <c r="A33" s="2" t="inlineStr">
        <is>
          <t>g3-q1</t>
        </is>
      </c>
      <c r="B33" s="2" t="inlineStr">
        <is>
          <t>G3</t>
        </is>
      </c>
      <c r="C33" s="2" t="inlineStr">
        <is>
          <t>text</t>
        </is>
      </c>
      <c r="D33" s="2" t="inlineStr">
        <is>
          <t>According to GAO's fiscal year 2024 budget testimony, how much in financial benefits did GAO's work yield in fiscal year 2022?</t>
        </is>
      </c>
      <c r="E33" s="2" t="inlineStr">
        <is>
          <t>$55.6 billion (about $74 for every dollar invested)</t>
        </is>
      </c>
      <c r="F33" s="2" t="n">
        <v>1</v>
      </c>
      <c r="G33" s="2" t="inlineStr">
        <is>
          <t>correct</t>
        </is>
      </c>
      <c r="H33" s="2" t="inlineStr">
        <is>
          <t>$55.6 billion, as the reference.</t>
        </is>
      </c>
    </row>
    <row r="34">
      <c r="A34" s="2" t="inlineStr">
        <is>
          <t>g3-q2</t>
        </is>
      </c>
      <c r="B34" s="2" t="inlineStr">
        <is>
          <t>G3</t>
        </is>
      </c>
      <c r="C34" s="2" t="inlineStr">
        <is>
          <t>table</t>
        </is>
      </c>
      <c r="D34" s="2" t="inlineStr">
        <is>
          <t>How many GAO mandates did the James M. Inhofe National Defense Authorization Act for Fiscal Year 2023 contain, according to GAO-23-900494?</t>
        </is>
      </c>
      <c r="E34" s="2" t="inlineStr">
        <is>
          <t>158 mandates (312 estimated FTE)</t>
        </is>
      </c>
      <c r="F34" s="2" t="inlineStr">
        <is>
          <t>not in top 5</t>
        </is>
      </c>
      <c r="G34" s="2" t="inlineStr">
        <is>
          <t>wrong-abstain</t>
        </is>
      </c>
      <c r="H34" s="2" t="inlineStr">
        <is>
          <t>Declined; the mandates table on the Highlights page is split so the Inhofe row and its count are not in one retrieved chunk.</t>
        </is>
      </c>
    </row>
    <row r="35">
      <c r="A35" s="2" t="inlineStr">
        <is>
          <t>g4-q1</t>
        </is>
      </c>
      <c r="B35" s="2" t="inlineStr">
        <is>
          <t>G4</t>
        </is>
      </c>
      <c r="C35" s="2" t="inlineStr">
        <is>
          <t>ocr</t>
        </is>
      </c>
      <c r="D35" s="2" t="inlineStr">
        <is>
          <t>Under Executive Order 9066, whom does the President authorize to prescribe military areas?</t>
        </is>
      </c>
      <c r="E35" s="2" t="inlineStr">
        <is>
          <t>The Secretary of War, and the Military Commanders he designates</t>
        </is>
      </c>
      <c r="F35" s="2" t="n">
        <v>3</v>
      </c>
      <c r="G35" s="2" t="inlineStr">
        <is>
          <t>correct</t>
        </is>
      </c>
      <c r="H35" s="2" t="inlineStr">
        <is>
          <t>The Secretary of War and designated Military Commanders.</t>
        </is>
      </c>
    </row>
    <row r="36">
      <c r="A36" s="2" t="inlineStr">
        <is>
          <t>g4-q2</t>
        </is>
      </c>
      <c r="B36" s="2" t="inlineStr">
        <is>
          <t>G4</t>
        </is>
      </c>
      <c r="C36" s="2" t="inlineStr">
        <is>
          <t>ocr</t>
        </is>
      </c>
      <c r="D36" s="2" t="inlineStr">
        <is>
          <t>Which earlier act, by date, does Executive Order 9066 cite first as defining national-defense material, premises and utilities?</t>
        </is>
      </c>
      <c r="E36" s="2" t="inlineStr">
        <is>
          <t>Section 4 of the Act of April 20, 1918 (40 Stat. 533), as amended</t>
        </is>
      </c>
      <c r="F36" s="2" t="n">
        <v>1</v>
      </c>
      <c r="G36" s="2" t="inlineStr">
        <is>
          <t>correct</t>
        </is>
      </c>
      <c r="H36" s="2" t="inlineStr">
        <is>
          <t>Act of April 20, 1918, 40 Stat. 533.</t>
        </is>
      </c>
    </row>
    <row r="37">
      <c r="A37" s="2" t="inlineStr">
        <is>
          <t>g5-q1</t>
        </is>
      </c>
      <c r="B37" s="2" t="inlineStr">
        <is>
          <t>G5</t>
        </is>
      </c>
      <c r="C37" s="2" t="inlineStr">
        <is>
          <t>table</t>
        </is>
      </c>
      <c r="D37" s="2" t="inlineStr">
        <is>
          <t>According to the NISRA Labour Force Survey tables for October to December 2023, what percentage of females working part time did not want a full-time job?</t>
        </is>
      </c>
      <c r="E37" s="2" t="inlineStr">
        <is>
          <t>73.3%</t>
        </is>
      </c>
      <c r="F37" s="2" t="n">
        <v>1</v>
      </c>
      <c r="G37" s="2" t="inlineStr">
        <is>
          <t>correct</t>
        </is>
      </c>
      <c r="H37" s="2" t="inlineStr">
        <is>
          <t>73.3%, from the spreadsheet table.</t>
        </is>
      </c>
    </row>
    <row r="38">
      <c r="A38" s="2" t="inlineStr">
        <is>
          <t>g5-q2</t>
        </is>
      </c>
      <c r="B38" s="2" t="inlineStr">
        <is>
          <t>G5</t>
        </is>
      </c>
      <c r="C38" s="2" t="inlineStr">
        <is>
          <t>table</t>
        </is>
      </c>
      <c r="D38" s="2" t="inlineStr">
        <is>
          <t>What was the economic inactivity rate for all persons aged 16 to 64 in October to December 2023 in the NISRA Labour Force Survey tables?</t>
        </is>
      </c>
      <c r="E38" s="2" t="inlineStr">
        <is>
          <t>26.9%</t>
        </is>
      </c>
      <c r="F38" s="2" t="n">
        <v>3</v>
      </c>
      <c r="G38" s="2" t="inlineStr">
        <is>
          <t>correct</t>
        </is>
      </c>
      <c r="H38" s="2" t="inlineStr">
        <is>
          <t>26.9%, from the spreadsheet table.</t>
        </is>
      </c>
    </row>
    <row r="39">
      <c r="A39" s="2" t="inlineStr">
        <is>
          <t>g6-q1</t>
        </is>
      </c>
      <c r="B39" s="2" t="inlineStr">
        <is>
          <t>G6</t>
        </is>
      </c>
      <c r="C39" s="2" t="inlineStr">
        <is>
          <t>text</t>
        </is>
      </c>
      <c r="D39" s="2" t="inlineStr">
        <is>
          <t>Who was the Chief Executive of ECGD in its September 2012 organisation chart?</t>
        </is>
      </c>
      <c r="E39" s="2" t="inlineStr">
        <is>
          <t>Patrick Crawford</t>
        </is>
      </c>
      <c r="F39" s="2" t="n">
        <v>4</v>
      </c>
      <c r="G39" s="2" t="inlineStr">
        <is>
          <t>correct</t>
        </is>
      </c>
      <c r="H39" s="2" t="inlineStr">
        <is>
          <t>Patrick Crawford, from the slide.</t>
        </is>
      </c>
    </row>
    <row r="40">
      <c r="A40" s="2" t="inlineStr">
        <is>
          <t>g6-q2</t>
        </is>
      </c>
      <c r="B40" s="2" t="inlineStr">
        <is>
          <t>G6</t>
        </is>
      </c>
      <c r="C40" s="2" t="inlineStr">
        <is>
          <t>table</t>
        </is>
      </c>
      <c r="D40" s="2" t="inlineStr">
        <is>
          <t>What was the pay range for ECGD Pay Band 07 (SEO) in September 2012?</t>
        </is>
      </c>
      <c r="E40" s="2" t="inlineStr">
        <is>
          <t>£36,300 to £43,690</t>
        </is>
      </c>
      <c r="F40" s="2" t="n">
        <v>1</v>
      </c>
      <c r="G40" s="2" t="inlineStr">
        <is>
          <t>correct</t>
        </is>
      </c>
      <c r="H40" s="2" t="inlineStr">
        <is>
          <t>£36,300 to £43,690, from the slide.</t>
        </is>
      </c>
    </row>
    <row r="41">
      <c r="A41" s="2" t="inlineStr">
        <is>
          <t>g7-q1</t>
        </is>
      </c>
      <c r="B41" s="2" t="inlineStr">
        <is>
          <t>G7</t>
        </is>
      </c>
      <c r="C41" s="2" t="inlineStr">
        <is>
          <t>text</t>
        </is>
      </c>
      <c r="D41" s="2" t="inlineStr">
        <is>
          <t>In the DfE information sharing agreement template, covering how many years before the application must childminder agencies check where a provider has lived?</t>
        </is>
      </c>
      <c r="E41" s="2" t="inlineStr">
        <is>
          <t>The 5 years before the application</t>
        </is>
      </c>
      <c r="F41" s="2" t="n">
        <v>1</v>
      </c>
      <c r="G41" s="2" t="inlineStr">
        <is>
          <t>correct</t>
        </is>
      </c>
      <c r="H41" s="2" t="inlineStr">
        <is>
          <t>The 5 years before the application.</t>
        </is>
      </c>
    </row>
    <row r="42">
      <c r="A42" s="2" t="inlineStr">
        <is>
          <t>g7-q2</t>
        </is>
      </c>
      <c r="B42" s="2" t="inlineStr">
        <is>
          <t>G7</t>
        </is>
      </c>
      <c r="C42" s="2" t="inlineStr">
        <is>
          <t>text</t>
        </is>
      </c>
      <c r="D42" s="2" t="inlineStr">
        <is>
          <t>Which data protection laws does the childminder information sharing agreement template say agencies and local authorities must understand?</t>
        </is>
      </c>
      <c r="E42" s="2" t="inlineStr">
        <is>
          <t>UK GDPR, the Data Protection Act 2018 and, where applicable, the Freedom of Information Act 2000</t>
        </is>
      </c>
      <c r="F42" s="2" t="n">
        <v>1</v>
      </c>
      <c r="G42" s="2" t="inlineStr">
        <is>
          <t>correct</t>
        </is>
      </c>
      <c r="H42" s="2" t="inlineStr">
        <is>
          <t>UK GDPR, DPA 2018 and FOI Act 2000.</t>
        </is>
      </c>
    </row>
    <row r="43">
      <c r="A43" s="2" t="inlineStr">
        <is>
          <t>g8-q1</t>
        </is>
      </c>
      <c r="B43" s="2" t="inlineStr">
        <is>
          <t>G8</t>
        </is>
      </c>
      <c r="C43" s="2" t="inlineStr">
        <is>
          <t>text</t>
        </is>
      </c>
      <c r="D43" s="2" t="inlineStr">
        <is>
          <t>How many participants took part in the driving simulator study (study 1) of the PLOS ONE paper on sex differences in driving speed?</t>
        </is>
      </c>
      <c r="E43" s="2" t="inlineStr">
        <is>
          <t>41</t>
        </is>
      </c>
      <c r="F43" s="2" t="inlineStr">
        <is>
          <t>not in top 5</t>
        </is>
      </c>
      <c r="G43" s="2" t="inlineStr">
        <is>
          <t>correct</t>
        </is>
      </c>
      <c r="H43" s="2" t="inlineStr">
        <is>
          <t>Forty-one participants.</t>
        </is>
      </c>
    </row>
    <row r="44">
      <c r="A44" s="2" t="inlineStr">
        <is>
          <t>g8-q2</t>
        </is>
      </c>
      <c r="B44" s="2" t="inlineStr">
        <is>
          <t>G8</t>
        </is>
      </c>
      <c r="C44" s="2" t="inlineStr">
        <is>
          <t>text</t>
        </is>
      </c>
      <c r="D44" s="2" t="inlineStr">
        <is>
          <t>In the PLOS ONE driving-speed paper, what partly mediates the relationship between sex and driving speed?</t>
        </is>
      </c>
      <c r="E44" s="2" t="inlineStr">
        <is>
          <t>Impulse control (a partial mediating role)</t>
        </is>
      </c>
      <c r="F44" s="2" t="inlineStr">
        <is>
          <t>not in top 5</t>
        </is>
      </c>
      <c r="G44" s="2" t="inlineStr">
        <is>
          <t>correct</t>
        </is>
      </c>
      <c r="H44" s="2" t="inlineStr">
        <is>
          <t>Impulse control partly mediates the relationship.</t>
        </is>
      </c>
    </row>
    <row r="45">
      <c r="A45" s="2" t="inlineStr">
        <is>
          <t>g6-q3</t>
        </is>
      </c>
      <c r="B45" s="2" t="inlineStr">
        <is>
          <t>G6</t>
        </is>
      </c>
      <c r="C45" s="2" t="inlineStr">
        <is>
          <t>unanswerable</t>
        </is>
      </c>
      <c r="D45" s="2" t="inlineStr">
        <is>
          <t>What was the ECGD Chief Executive's salary in 2015?</t>
        </is>
      </c>
      <c r="E45" s="2" t="inlineStr">
        <is>
          <t>Not stated in the source (the chart is as at 30 September 2012).</t>
        </is>
      </c>
      <c r="F45" s="2" t="inlineStr">
        <is>
          <t>n/a</t>
        </is>
      </c>
      <c r="G45" s="2" t="inlineStr">
        <is>
          <t>correct-abstain</t>
        </is>
      </c>
      <c r="H45" s="2" t="inlineStr">
        <is>
          <t>Declined; only 2012 is in the source.</t>
        </is>
      </c>
    </row>
    <row r="46">
      <c r="A46" s="2" t="inlineStr">
        <is>
          <t>g8-q3</t>
        </is>
      </c>
      <c r="B46" s="2" t="inlineStr">
        <is>
          <t>G8</t>
        </is>
      </c>
      <c r="C46" s="2" t="inlineStr">
        <is>
          <t>unanswerable</t>
        </is>
      </c>
      <c r="D46" s="2" t="inlineStr">
        <is>
          <t>How many participants in the PLOS ONE driving-speed study lived in Beijing?</t>
        </is>
      </c>
      <c r="E46" s="2" t="inlineStr">
        <is>
          <t>Not stated in the source.</t>
        </is>
      </c>
      <c r="F46" s="2" t="inlineStr">
        <is>
          <t>n/a</t>
        </is>
      </c>
      <c r="G46" s="2" t="inlineStr">
        <is>
          <t>correct-abstain</t>
        </is>
      </c>
      <c r="H46" s="2" t="inlineStr">
        <is>
          <t>Declined; not in the source.</t>
        </is>
      </c>
    </row>
    <row r="47">
      <c r="A47" s="2" t="inlineStr">
        <is>
          <t>g2-q3</t>
        </is>
      </c>
      <c r="B47" s="2" t="inlineStr">
        <is>
          <t>G2</t>
        </is>
      </c>
      <c r="C47" s="2" t="inlineStr">
        <is>
          <t>unanswerable</t>
        </is>
      </c>
      <c r="D47" s="2" t="inlineStr">
        <is>
          <t>What does NIST SP 800-63B require for retina scanners at AAL3 in hospitals?</t>
        </is>
      </c>
      <c r="E47" s="2" t="inlineStr">
        <is>
          <t>Not stated in the source.</t>
        </is>
      </c>
      <c r="F47" s="2" t="inlineStr">
        <is>
          <t>n/a</t>
        </is>
      </c>
      <c r="G47" s="2" t="inlineStr">
        <is>
          <t>correct-abstain</t>
        </is>
      </c>
      <c r="H47" s="2" t="inlineStr">
        <is>
          <t>Declined; not in the source.</t>
        </is>
      </c>
    </row>
    <row r="48">
      <c r="A48" s="2" t="n"/>
      <c r="B48" s="2" t="n"/>
      <c r="C48" s="2" t="n"/>
      <c r="D48" s="2" t="n"/>
      <c r="E48" s="2" t="n"/>
      <c r="F48" s="2" t="n"/>
      <c r="G48" s="2" t="n"/>
      <c r="H48" s="2" t="n"/>
    </row>
    <row r="49">
      <c r="A49" s="2" t="inlineStr">
        <is>
          <t>Questions whose retrieval changed from A2 to A3</t>
        </is>
      </c>
      <c r="B49" s="2" t="n"/>
      <c r="C49" s="2" t="n"/>
      <c r="D49" s="2" t="n"/>
      <c r="E49" s="2" t="n"/>
      <c r="F49" s="2" t="n"/>
      <c r="G49" s="2" t="n"/>
      <c r="H49" s="2" t="n"/>
    </row>
    <row r="50">
      <c r="A50" s="2" t="inlineStr">
        <is>
          <t>Question</t>
        </is>
      </c>
      <c r="B50" s="2" t="inlineStr">
        <is>
          <t>Source</t>
        </is>
      </c>
      <c r="C50" s="2" t="inlineStr">
        <is>
          <t>Question text</t>
        </is>
      </c>
      <c r="D50" s="2" t="inlineStr">
        <is>
          <t>First hit rank A2</t>
        </is>
      </c>
      <c r="E50" s="2" t="inlineStr">
        <is>
          <t>First hit rank A3</t>
        </is>
      </c>
      <c r="F50" s="2" t="n"/>
      <c r="G50" s="2" t="n"/>
      <c r="H50" s="2" t="n"/>
    </row>
    <row r="51">
      <c r="A51" s="2" t="inlineStr">
        <is>
          <t>f2-q5</t>
        </is>
      </c>
      <c r="B51" s="2" t="inlineStr">
        <is>
          <t>F2</t>
        </is>
      </c>
      <c r="C51" s="2" t="inlineStr">
        <is>
          <t>What was the median income of family households in 2022 according to Table A-1?</t>
        </is>
      </c>
      <c r="D51" s="2" t="n">
        <v>4</v>
      </c>
      <c r="E51" s="2" t="n">
        <v>1</v>
      </c>
      <c r="F51" s="2" t="n"/>
      <c r="G51" s="2" t="n"/>
      <c r="H51" s="2" t="n"/>
    </row>
    <row r="52">
      <c r="A52" s="2" t="inlineStr">
        <is>
          <t>f4-q3</t>
        </is>
      </c>
      <c r="B52" s="2" t="inlineStr">
        <is>
          <t>F4</t>
        </is>
      </c>
      <c r="C52" s="2" t="inlineStr">
        <is>
          <t>Quelle part des marchandises transportées dans l'UE-28 l'est par la route ?</t>
        </is>
      </c>
      <c r="D52" s="2" t="n">
        <v>1</v>
      </c>
      <c r="E52" s="2" t="n">
        <v>2</v>
      </c>
      <c r="F52" s="2" t="n"/>
      <c r="G52" s="2" t="n"/>
      <c r="H52" s="2"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2026-10-10T10:14:33Z</dcterms:created>
  <dcterms:modified xmlns:dcterms="http://purl.org/dc/terms/" xmlns:xsi="http://www.w3.org/2001/XMLSchema-instance" xsi:type="dcterms:W3CDTF">2026-10-10T10:14:33Z</dcterms:modified>
</cp:coreProperties>
</file>